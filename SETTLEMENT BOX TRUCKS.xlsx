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O" sheetId="1" r:id="rId5"/>
  </sheets>
  <definedNames>
    <definedName hidden="1" localSheetId="0" name="_xlnm._FilterDatabase">MAYO!$J$8:$J$47</definedName>
  </definedNames>
  <calcPr/>
</workbook>
</file>

<file path=xl/sharedStrings.xml><?xml version="1.0" encoding="utf-8"?>
<sst xmlns="http://schemas.openxmlformats.org/spreadsheetml/2006/main" count="156" uniqueCount="88">
  <si>
    <t xml:space="preserve">ETG MOVING SERVICES </t>
  </si>
  <si>
    <t xml:space="preserve">CAJA </t>
  </si>
  <si>
    <t>DESCRIPCION</t>
  </si>
  <si>
    <t>TRUCK#</t>
  </si>
  <si>
    <t>REFERENCIA</t>
  </si>
  <si>
    <t xml:space="preserve">DEBITO </t>
  </si>
  <si>
    <t xml:space="preserve">CREDITO </t>
  </si>
  <si>
    <t>INGRESO</t>
  </si>
  <si>
    <t>CARGA LUCIANO</t>
  </si>
  <si>
    <t>TRUCK 106 - 108</t>
  </si>
  <si>
    <t>CARLOS A FAVOR</t>
  </si>
  <si>
    <t xml:space="preserve">DIESEL A FAVOR </t>
  </si>
  <si>
    <t xml:space="preserve">DIESEL </t>
  </si>
  <si>
    <t>ORDERS</t>
  </si>
  <si>
    <t>ORDER#</t>
  </si>
  <si>
    <t>PU DATE</t>
  </si>
  <si>
    <t xml:space="preserve">PU CITY </t>
  </si>
  <si>
    <t>DO DATE</t>
  </si>
  <si>
    <t xml:space="preserve">DO CITY </t>
  </si>
  <si>
    <t xml:space="preserve">MILES </t>
  </si>
  <si>
    <t xml:space="preserve">RATE </t>
  </si>
  <si>
    <t>INVOICE#</t>
  </si>
  <si>
    <t>DATE</t>
  </si>
  <si>
    <t xml:space="preserve">CITY </t>
  </si>
  <si>
    <t>GALLONS</t>
  </si>
  <si>
    <t>VALUE</t>
  </si>
  <si>
    <t xml:space="preserve">LUCIANO </t>
  </si>
  <si>
    <t xml:space="preserve">MIAMI FL </t>
  </si>
  <si>
    <t>DES MOINES IA</t>
  </si>
  <si>
    <t xml:space="preserve">MEDLEY FL </t>
  </si>
  <si>
    <t>N/A</t>
  </si>
  <si>
    <t>DALLAS TX</t>
  </si>
  <si>
    <t xml:space="preserve">JASPER FL </t>
  </si>
  <si>
    <t>NEW HAMPTON IA</t>
  </si>
  <si>
    <t>BRENHAM TX</t>
  </si>
  <si>
    <t>RESACA GA</t>
  </si>
  <si>
    <t xml:space="preserve">WINONA MN </t>
  </si>
  <si>
    <t>SAN ANTONIO TX</t>
  </si>
  <si>
    <t>MASCOUTAH IL</t>
  </si>
  <si>
    <t xml:space="preserve">CARLOS DEBE </t>
  </si>
  <si>
    <t>BAH-QP</t>
  </si>
  <si>
    <t xml:space="preserve">TALLAHASEE FL </t>
  </si>
  <si>
    <t>NEW ORLEANS LA</t>
  </si>
  <si>
    <t xml:space="preserve">MT PLEASANRT IA </t>
  </si>
  <si>
    <t>SEALY TX</t>
  </si>
  <si>
    <t>GARLAND TX</t>
  </si>
  <si>
    <t>ELLSWORTH IA</t>
  </si>
  <si>
    <t xml:space="preserve">CLEAR  LAKE IA </t>
  </si>
  <si>
    <t>EMPORIA KS</t>
  </si>
  <si>
    <t>EDMOND OK</t>
  </si>
  <si>
    <t>DEF</t>
  </si>
  <si>
    <t>IMPRESORA</t>
  </si>
  <si>
    <t xml:space="preserve">WILLIAM DEBE </t>
  </si>
  <si>
    <t xml:space="preserve">SEALY TX </t>
  </si>
  <si>
    <t>DEFUNIAK SPGS FL</t>
  </si>
  <si>
    <t xml:space="preserve">ZELLE PARA DIESEL </t>
  </si>
  <si>
    <t xml:space="preserve">CARLOS </t>
  </si>
  <si>
    <t>178oo64741122658</t>
  </si>
  <si>
    <t>178oo64270372866</t>
  </si>
  <si>
    <t>TEXARKANA TX</t>
  </si>
  <si>
    <t>A FAVOR EN DIESEL</t>
  </si>
  <si>
    <t xml:space="preserve">HURRICANE MILLS TN </t>
  </si>
  <si>
    <t>INGRESO CARGA</t>
  </si>
  <si>
    <t>WYTHEVILLE VA</t>
  </si>
  <si>
    <t xml:space="preserve">MALVERN PA </t>
  </si>
  <si>
    <t>n/a</t>
  </si>
  <si>
    <t xml:space="preserve">WHARTON NJ </t>
  </si>
  <si>
    <t xml:space="preserve">BROOKVILLE PA </t>
  </si>
  <si>
    <t xml:space="preserve">PAGO CHOFER </t>
  </si>
  <si>
    <t>26876 - BAH-QP</t>
  </si>
  <si>
    <t xml:space="preserve">EAST ST LOUIS IL </t>
  </si>
  <si>
    <t>23 MAY - 28 MAY (6 DIAS)</t>
  </si>
  <si>
    <t>EATON OH</t>
  </si>
  <si>
    <t>BONUS CHOFER</t>
  </si>
  <si>
    <t>PARCIAL - REPARACION</t>
  </si>
  <si>
    <t>OTHERS</t>
  </si>
  <si>
    <t xml:space="preserve">BEDFORD PA </t>
  </si>
  <si>
    <t xml:space="preserve">CATEGORY </t>
  </si>
  <si>
    <t>INVOICE #</t>
  </si>
  <si>
    <t xml:space="preserve">DESCRIPTION </t>
  </si>
  <si>
    <t>AMOUNT</t>
  </si>
  <si>
    <t>IMPRESION</t>
  </si>
  <si>
    <t>COOLANT</t>
  </si>
  <si>
    <t xml:space="preserve">RIGNATION </t>
  </si>
  <si>
    <t>RIGNATION</t>
  </si>
  <si>
    <t xml:space="preserve">TOTAL </t>
  </si>
  <si>
    <t>TOTAL DIESEL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</si>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</sst>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&quot;$&quot;#,##0"/>
    <numFmt numFmtId="166" formatCode="mm/dd/yyyy"/>
    <numFmt numFmtId="167" formatCode="M/d/yyyy"/>
  </numFmts>
  <fonts count="10">
    <font>
      <sz val="10.0"/>
      <color rgb="FF000000"/>
      <name val="Arial"/>
      <scheme val="minor"/>
    </font>
    <font>
      <color theme="1"/>
      <name val="Arial"/>
    </font>
    <font>
      <b/>
      <sz val="23.0"/>
      <color theme="1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</font>
    <font>
      <b/>
      <sz val="15.0"/>
      <color theme="1"/>
      <name val="Arial"/>
      <scheme val="minor"/>
    </font>
    <font/>
    <font>
      <b/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2" fontId="3" numFmtId="0" xfId="0" applyFont="1"/>
    <xf borderId="0" fillId="3" fontId="4" numFmtId="0" xfId="0" applyAlignment="1" applyFill="1" applyFont="1">
      <alignment horizontal="center" readingOrder="0"/>
    </xf>
    <xf borderId="0" fillId="0" fontId="4" numFmtId="164" xfId="0" applyFont="1" applyNumberFormat="1"/>
    <xf borderId="1" fillId="4" fontId="5" numFmtId="0" xfId="0" applyAlignment="1" applyBorder="1" applyFill="1" applyFont="1">
      <alignment readingOrder="0"/>
    </xf>
    <xf borderId="1" fillId="4" fontId="5" numFmtId="0" xfId="0" applyAlignment="1" applyBorder="1" applyFont="1">
      <alignment horizontal="center" readingOrder="0"/>
    </xf>
    <xf borderId="1" fillId="3" fontId="5" numFmtId="164" xfId="0" applyAlignment="1" applyBorder="1" applyFont="1" applyNumberFormat="1">
      <alignment readingOrder="0"/>
    </xf>
    <xf borderId="0" fillId="5" fontId="5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2" fontId="1" numFmtId="164" xfId="0" applyAlignment="1" applyFont="1" applyNumberFormat="1">
      <alignment vertical="bottom"/>
    </xf>
    <xf borderId="0" fillId="2" fontId="1" numFmtId="164" xfId="0" applyAlignment="1" applyFont="1" applyNumberFormat="1">
      <alignment vertical="bottom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6" fontId="5" numFmtId="164" xfId="0" applyAlignment="1" applyBorder="1" applyFill="1" applyFont="1" applyNumberFormat="1">
      <alignment readingOrder="0"/>
    </xf>
    <xf borderId="1" fillId="7" fontId="5" numFmtId="164" xfId="0" applyAlignment="1" applyBorder="1" applyFill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6" numFmtId="0" xfId="0" applyAlignment="1" applyFont="1">
      <alignment horizontal="center" readingOrder="0" vertical="bottom"/>
    </xf>
    <xf borderId="0" fillId="0" fontId="6" numFmtId="165" xfId="0" applyAlignment="1" applyFont="1" applyNumberFormat="1">
      <alignment horizontal="center" vertical="bottom"/>
    </xf>
    <xf borderId="1" fillId="8" fontId="5" numFmtId="0" xfId="0" applyAlignment="1" applyBorder="1" applyFill="1" applyFont="1">
      <alignment readingOrder="0"/>
    </xf>
    <xf borderId="1" fillId="8" fontId="5" numFmtId="0" xfId="0" applyAlignment="1" applyBorder="1" applyFont="1">
      <alignment horizontal="center" readingOrder="0"/>
    </xf>
    <xf borderId="1" fillId="8" fontId="5" numFmtId="164" xfId="0" applyAlignment="1" applyBorder="1" applyFont="1" applyNumberFormat="1">
      <alignment readingOrder="0"/>
    </xf>
    <xf borderId="0" fillId="2" fontId="5" numFmtId="0" xfId="0" applyFont="1"/>
    <xf borderId="0" fillId="0" fontId="5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center"/>
    </xf>
    <xf borderId="0" fillId="3" fontId="7" numFmtId="0" xfId="0" applyAlignment="1" applyFont="1">
      <alignment horizontal="center" readingOrder="0"/>
    </xf>
    <xf borderId="0" fillId="2" fontId="3" numFmtId="164" xfId="0" applyFont="1" applyNumberFormat="1"/>
    <xf borderId="1" fillId="4" fontId="5" numFmtId="164" xfId="0" applyAlignment="1" applyBorder="1" applyFont="1" applyNumberFormat="1">
      <alignment horizontal="center" readingOrder="0"/>
    </xf>
    <xf borderId="1" fillId="4" fontId="5" numFmtId="164" xfId="0" applyAlignment="1" applyBorder="1" applyFont="1" applyNumberFormat="1">
      <alignment readingOrder="0"/>
    </xf>
    <xf borderId="1" fillId="5" fontId="5" numFmtId="0" xfId="0" applyAlignment="1" applyBorder="1" applyFont="1">
      <alignment horizontal="center" readingOrder="0"/>
    </xf>
    <xf borderId="1" fillId="5" fontId="3" numFmtId="166" xfId="0" applyAlignment="1" applyBorder="1" applyFont="1" applyNumberFormat="1">
      <alignment horizontal="center" readingOrder="0"/>
    </xf>
    <xf borderId="1" fillId="5" fontId="3" numFmtId="0" xfId="0" applyAlignment="1" applyBorder="1" applyFont="1">
      <alignment readingOrder="0"/>
    </xf>
    <xf borderId="1" fillId="5" fontId="3" numFmtId="167" xfId="0" applyAlignment="1" applyBorder="1" applyFont="1" applyNumberForma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5" fontId="3" numFmtId="165" xfId="0" applyAlignment="1" applyBorder="1" applyFont="1" applyNumberFormat="1">
      <alignment readingOrder="0"/>
    </xf>
    <xf borderId="1" fillId="0" fontId="3" numFmtId="166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5" numFmtId="0" xfId="0" applyFont="1"/>
    <xf borderId="1" fillId="6" fontId="5" numFmtId="164" xfId="0" applyAlignment="1" applyBorder="1" applyFont="1" applyNumberFormat="1">
      <alignment readingOrder="0"/>
    </xf>
    <xf borderId="0" fillId="7" fontId="3" numFmtId="0" xfId="0" applyFont="1"/>
    <xf borderId="1" fillId="0" fontId="5" numFmtId="164" xfId="0" applyAlignment="1" applyBorder="1" applyFont="1" applyNumberFormat="1">
      <alignment readingOrder="0"/>
    </xf>
    <xf borderId="1" fillId="9" fontId="5" numFmtId="0" xfId="0" applyAlignment="1" applyBorder="1" applyFill="1" applyFont="1">
      <alignment readingOrder="0"/>
    </xf>
    <xf borderId="1" fillId="9" fontId="5" numFmtId="0" xfId="0" applyAlignment="1" applyBorder="1" applyFont="1">
      <alignment horizontal="center" readingOrder="0"/>
    </xf>
    <xf borderId="1" fillId="9" fontId="5" numFmtId="164" xfId="0" applyAlignment="1" applyBorder="1" applyFont="1" applyNumberFormat="1">
      <alignment readingOrder="0"/>
    </xf>
    <xf borderId="1" fillId="7" fontId="5" numFmtId="165" xfId="0" applyAlignment="1" applyBorder="1" applyFont="1" applyNumberFormat="1">
      <alignment readingOrder="0"/>
    </xf>
    <xf borderId="0" fillId="2" fontId="3" numFmtId="164" xfId="0" applyFont="1" applyNumberFormat="1"/>
    <xf borderId="1" fillId="5" fontId="5" numFmtId="0" xfId="0" applyAlignment="1" applyBorder="1" applyFont="1">
      <alignment readingOrder="0"/>
    </xf>
    <xf borderId="2" fillId="4" fontId="5" numFmtId="0" xfId="0" applyAlignment="1" applyBorder="1" applyFont="1">
      <alignment horizontal="center" readingOrder="0"/>
    </xf>
    <xf borderId="3" fillId="0" fontId="8" numFmtId="0" xfId="0" applyBorder="1" applyFont="1"/>
    <xf borderId="3" fillId="4" fontId="5" numFmtId="164" xfId="0" applyAlignment="1" applyBorder="1" applyFont="1" applyNumberFormat="1">
      <alignment readingOrder="0"/>
    </xf>
    <xf borderId="0" fillId="6" fontId="3" numFmtId="164" xfId="0" applyAlignment="1" applyFont="1" applyNumberFormat="1">
      <alignment readingOrder="0"/>
    </xf>
    <xf borderId="2" fillId="0" fontId="3" numFmtId="0" xfId="0" applyAlignment="1" applyBorder="1" applyFont="1">
      <alignment readingOrder="0"/>
    </xf>
    <xf borderId="3" fillId="0" fontId="3" numFmtId="164" xfId="0" applyAlignment="1" applyBorder="1" applyFont="1" applyNumberFormat="1">
      <alignment readingOrder="0"/>
    </xf>
    <xf borderId="1" fillId="0" fontId="3" numFmtId="0" xfId="0" applyBorder="1" applyFont="1"/>
    <xf borderId="1" fillId="0" fontId="3" numFmtId="164" xfId="0" applyBorder="1" applyFont="1" applyNumberFormat="1"/>
    <xf borderId="1" fillId="0" fontId="9" numFmtId="0" xfId="0" applyAlignment="1" applyBorder="1" applyFont="1">
      <alignment readingOrder="0"/>
    </xf>
    <xf borderId="1" fillId="0" fontId="9" numFmtId="164" xfId="0" applyBorder="1" applyFont="1" applyNumberFormat="1"/>
    <xf borderId="4" fillId="0" fontId="5" numFmtId="0" xfId="0" applyAlignment="1" applyBorder="1" applyFont="1">
      <alignment horizontal="center" readingOrder="0"/>
    </xf>
    <xf borderId="5" fillId="0" fontId="3" numFmtId="0" xfId="0" applyAlignment="1" applyBorder="1" applyFont="1">
      <alignment readingOrder="0"/>
    </xf>
    <xf borderId="6" fillId="0" fontId="8" numFmtId="0" xfId="0" applyBorder="1" applyFont="1"/>
    <xf borderId="6" fillId="0" fontId="3" numFmtId="164" xfId="0" applyAlignment="1" applyBorder="1" applyFont="1" applyNumberFormat="1">
      <alignment readingOrder="0"/>
    </xf>
    <xf borderId="0" fillId="5" fontId="5" numFmtId="164" xfId="0" applyFont="1" applyNumberFormat="1"/>
    <xf borderId="1" fillId="0" fontId="3" numFmtId="0" xfId="0" applyAlignment="1" applyBorder="1" applyFont="1">
      <alignment horizontal="center"/>
    </xf>
    <xf borderId="2" fillId="0" fontId="4" numFmtId="0" xfId="0" applyAlignment="1" applyBorder="1" applyFont="1">
      <alignment readingOrder="0"/>
    </xf>
    <xf borderId="3" fillId="0" fontId="9" numFmtId="164" xfId="0" applyBorder="1" applyFont="1" applyNumberFormat="1"/>
    <xf borderId="1" fillId="2" fontId="5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1" fillId="6" fontId="3" numFmtId="164" xfId="0" applyAlignment="1" applyBorder="1" applyFont="1" applyNumberFormat="1">
      <alignment readingOrder="0"/>
    </xf>
    <xf borderId="1" fillId="0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0</xdr:row>
      <xdr:rowOff>0</xdr:rowOff>
    </xdr:from>
    <xdr:ext cx="1219200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0</xdr:row>
      <xdr:rowOff>0</xdr:rowOff>
    </xdr:from>
    <xdr:ext cx="1219200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88"/>
    <col customWidth="1" min="3" max="3" width="14.88"/>
    <col customWidth="1" min="4" max="4" width="19.25"/>
    <col customWidth="1" min="6" max="6" width="16.38"/>
    <col customWidth="1" min="9" max="9" width="13.5"/>
    <col customWidth="1" min="10" max="10" width="10.5"/>
    <col customWidth="1" min="11" max="11" width="18.13"/>
    <col customWidth="1" min="13" max="13" width="19.75"/>
    <col customWidth="1" min="15" max="15" width="25.13"/>
    <col customWidth="1" min="16" max="16" width="17.13"/>
    <col customWidth="1" min="17" max="17" width="22.38"/>
    <col customWidth="1" min="18" max="18" width="9.5"/>
    <col customWidth="1" min="19" max="19" width="21.25"/>
    <col customWidth="1" min="20" max="20" width="13.75"/>
    <col customWidth="1" min="24" max="24" width="21.0"/>
  </cols>
  <sheetData>
    <row r="1">
      <c r="A1" s="1"/>
      <c r="B1" s="1"/>
      <c r="C1" s="2"/>
      <c r="D1" s="3" t="s">
        <v>0</v>
      </c>
      <c r="N1" s="4"/>
      <c r="O1" s="4"/>
      <c r="P1" s="4"/>
      <c r="Q1" s="5"/>
      <c r="R1" s="5" t="s">
        <v>1</v>
      </c>
      <c r="V1" s="6">
        <f>SUM(U3:U133)-SUM(T3:T133)</f>
        <v>96.16</v>
      </c>
      <c r="W1" s="4"/>
      <c r="X1" s="4"/>
    </row>
    <row r="2">
      <c r="A2" s="1"/>
      <c r="B2" s="1"/>
      <c r="C2" s="2"/>
      <c r="N2" s="4"/>
      <c r="O2" s="4"/>
      <c r="P2" s="4"/>
      <c r="Q2" s="7" t="s">
        <v>2</v>
      </c>
      <c r="R2" s="7" t="s">
        <v>3</v>
      </c>
      <c r="S2" s="8" t="s">
        <v>4</v>
      </c>
      <c r="T2" s="7" t="s">
        <v>5</v>
      </c>
      <c r="U2" s="9" t="s">
        <v>6</v>
      </c>
      <c r="V2" s="10"/>
      <c r="W2" s="11">
        <v>1219.0</v>
      </c>
      <c r="X2" s="4"/>
    </row>
    <row r="3">
      <c r="A3" s="1"/>
      <c r="B3" s="1"/>
      <c r="C3" s="2"/>
      <c r="D3" s="2"/>
      <c r="E3" s="12"/>
      <c r="F3" s="2"/>
      <c r="G3" s="2"/>
      <c r="H3" s="2"/>
      <c r="I3" s="2"/>
      <c r="J3" s="2"/>
      <c r="K3" s="2"/>
      <c r="L3" s="2"/>
      <c r="M3" s="13"/>
      <c r="N3" s="4"/>
      <c r="O3" s="4"/>
      <c r="P3" s="4"/>
      <c r="Q3" s="14" t="s">
        <v>7</v>
      </c>
      <c r="R3" s="14">
        <v>108.0</v>
      </c>
      <c r="S3" s="15" t="s">
        <v>8</v>
      </c>
      <c r="T3" s="16"/>
      <c r="U3" s="17">
        <v>2875.0</v>
      </c>
      <c r="V3" s="4"/>
      <c r="W3" s="4"/>
      <c r="X3" s="4"/>
      <c r="AA3" s="18"/>
    </row>
    <row r="4">
      <c r="A4" s="1"/>
      <c r="B4" s="1"/>
      <c r="C4" s="2"/>
      <c r="D4" s="19" t="s">
        <v>9</v>
      </c>
      <c r="I4" s="20">
        <f>SUM(I8:I75)</f>
        <v>0</v>
      </c>
      <c r="K4" s="2"/>
      <c r="L4" s="2"/>
      <c r="M4" s="13"/>
      <c r="N4" s="4"/>
      <c r="O4" s="4"/>
      <c r="P4" s="4"/>
      <c r="Q4" s="21" t="s">
        <v>10</v>
      </c>
      <c r="R4" s="21">
        <v>106.0</v>
      </c>
      <c r="S4" s="22" t="s">
        <v>11</v>
      </c>
      <c r="T4" s="23"/>
      <c r="U4" s="23">
        <v>180.0</v>
      </c>
      <c r="V4" s="4"/>
      <c r="W4" s="11"/>
      <c r="X4" s="24"/>
      <c r="Z4" s="25"/>
      <c r="AA4" s="25"/>
    </row>
    <row r="5">
      <c r="A5" s="1"/>
      <c r="B5" s="1"/>
      <c r="C5" s="2"/>
      <c r="D5" s="2"/>
      <c r="E5" s="12"/>
      <c r="F5" s="2"/>
      <c r="G5" s="2"/>
      <c r="H5" s="2"/>
      <c r="I5" s="2"/>
      <c r="J5" s="2"/>
      <c r="K5" s="2"/>
      <c r="L5" s="2"/>
      <c r="M5" s="13"/>
      <c r="N5" s="4"/>
      <c r="O5" s="4"/>
      <c r="P5" s="4"/>
      <c r="Q5" s="14" t="s">
        <v>12</v>
      </c>
      <c r="R5" s="14">
        <v>108.0</v>
      </c>
      <c r="S5" s="26">
        <v>308985.0</v>
      </c>
      <c r="T5" s="16">
        <v>315.4</v>
      </c>
      <c r="U5" s="17"/>
      <c r="V5" s="4"/>
      <c r="W5" s="27"/>
      <c r="X5" s="4"/>
    </row>
    <row r="6">
      <c r="A6" s="1"/>
      <c r="B6" s="1"/>
      <c r="C6" s="2"/>
      <c r="D6" s="2"/>
      <c r="E6" s="12"/>
      <c r="F6" s="2"/>
      <c r="G6" s="2"/>
      <c r="H6" s="2"/>
      <c r="I6" s="2"/>
      <c r="J6" s="2"/>
      <c r="K6" s="2"/>
      <c r="L6" s="2"/>
      <c r="M6" s="13"/>
      <c r="N6" s="4"/>
      <c r="O6" s="4"/>
      <c r="P6" s="4"/>
      <c r="Q6" s="14" t="s">
        <v>12</v>
      </c>
      <c r="R6" s="14">
        <v>108.0</v>
      </c>
      <c r="S6" s="26">
        <v>4713839.0</v>
      </c>
      <c r="T6" s="16">
        <v>200.0</v>
      </c>
      <c r="U6" s="17"/>
      <c r="V6" s="4"/>
      <c r="W6" s="27"/>
      <c r="X6" s="4"/>
    </row>
    <row r="7">
      <c r="A7" s="28"/>
      <c r="B7" s="28"/>
      <c r="C7" s="4"/>
      <c r="D7" s="29" t="s">
        <v>13</v>
      </c>
      <c r="F7" s="4"/>
      <c r="G7" s="4"/>
      <c r="H7" s="4"/>
      <c r="I7" s="4"/>
      <c r="J7" s="4"/>
      <c r="K7" s="29" t="s">
        <v>12</v>
      </c>
      <c r="M7" s="30"/>
      <c r="N7" s="4"/>
      <c r="O7" s="4"/>
      <c r="P7" s="4"/>
      <c r="Q7" s="14" t="s">
        <v>12</v>
      </c>
      <c r="R7" s="14">
        <v>108.0</v>
      </c>
      <c r="S7" s="26">
        <v>6692827.0</v>
      </c>
      <c r="T7" s="16">
        <v>283.0</v>
      </c>
      <c r="U7" s="17"/>
      <c r="V7" s="4"/>
      <c r="W7" s="27"/>
      <c r="X7" s="4"/>
    </row>
    <row r="8">
      <c r="A8" s="8" t="s">
        <v>14</v>
      </c>
      <c r="B8" s="8" t="s">
        <v>3</v>
      </c>
      <c r="C8" s="8" t="s">
        <v>15</v>
      </c>
      <c r="D8" s="8" t="s">
        <v>16</v>
      </c>
      <c r="E8" s="31" t="s">
        <v>17</v>
      </c>
      <c r="F8" s="8" t="s">
        <v>18</v>
      </c>
      <c r="G8" s="8" t="s">
        <v>19</v>
      </c>
      <c r="H8" s="8" t="s">
        <v>20</v>
      </c>
      <c r="I8" s="4"/>
      <c r="J8" s="8" t="s">
        <v>3</v>
      </c>
      <c r="K8" s="7" t="s">
        <v>21</v>
      </c>
      <c r="L8" s="7" t="s">
        <v>22</v>
      </c>
      <c r="M8" s="7" t="s">
        <v>23</v>
      </c>
      <c r="N8" s="7" t="s">
        <v>24</v>
      </c>
      <c r="O8" s="32" t="s">
        <v>25</v>
      </c>
      <c r="P8" s="4"/>
      <c r="Q8" s="14" t="s">
        <v>12</v>
      </c>
      <c r="R8" s="14">
        <v>108.0</v>
      </c>
      <c r="S8" s="26">
        <v>6.5000536E7</v>
      </c>
      <c r="T8" s="16">
        <v>300.0</v>
      </c>
      <c r="U8" s="17"/>
      <c r="V8" s="4"/>
      <c r="W8" s="27"/>
      <c r="X8" s="4"/>
    </row>
    <row r="9">
      <c r="A9" s="33" t="s">
        <v>26</v>
      </c>
      <c r="B9" s="33">
        <v>108.0</v>
      </c>
      <c r="C9" s="34">
        <v>46164.0</v>
      </c>
      <c r="D9" s="35" t="s">
        <v>27</v>
      </c>
      <c r="E9" s="36">
        <v>46168.0</v>
      </c>
      <c r="F9" s="35" t="s">
        <v>28</v>
      </c>
      <c r="G9" s="37"/>
      <c r="H9" s="38">
        <v>2875.0</v>
      </c>
      <c r="I9" s="4"/>
      <c r="J9" s="33">
        <v>108.0</v>
      </c>
      <c r="K9" s="26">
        <v>308985.0</v>
      </c>
      <c r="L9" s="39">
        <v>46165.0</v>
      </c>
      <c r="M9" s="26" t="s">
        <v>29</v>
      </c>
      <c r="N9" s="26" t="s">
        <v>30</v>
      </c>
      <c r="O9" s="40">
        <v>315.4</v>
      </c>
      <c r="P9" s="4"/>
      <c r="Q9" s="14" t="s">
        <v>12</v>
      </c>
      <c r="R9" s="14">
        <v>108.0</v>
      </c>
      <c r="S9" s="26">
        <v>6815406.0</v>
      </c>
      <c r="T9" s="16">
        <v>100.0</v>
      </c>
      <c r="U9" s="17"/>
      <c r="V9" s="4"/>
      <c r="W9" s="4"/>
      <c r="X9" s="4"/>
    </row>
    <row r="10">
      <c r="A10" s="33">
        <v>26876.0</v>
      </c>
      <c r="B10" s="33">
        <v>106.0</v>
      </c>
      <c r="C10" s="36">
        <v>46168.0</v>
      </c>
      <c r="D10" s="35" t="s">
        <v>27</v>
      </c>
      <c r="E10" s="36">
        <v>46170.0</v>
      </c>
      <c r="F10" s="35" t="s">
        <v>31</v>
      </c>
      <c r="G10" s="37"/>
      <c r="H10" s="38">
        <v>2100.0</v>
      </c>
      <c r="I10" s="4"/>
      <c r="J10" s="33">
        <v>108.0</v>
      </c>
      <c r="K10" s="26">
        <v>4713839.0</v>
      </c>
      <c r="L10" s="39">
        <v>46165.0</v>
      </c>
      <c r="M10" s="26" t="s">
        <v>32</v>
      </c>
      <c r="N10" s="26"/>
      <c r="O10" s="40">
        <v>200.0</v>
      </c>
      <c r="P10" s="4"/>
      <c r="Q10" s="14" t="s">
        <v>12</v>
      </c>
      <c r="R10" s="14">
        <v>108.0</v>
      </c>
      <c r="S10" s="26">
        <v>4624527.0</v>
      </c>
      <c r="T10" s="16">
        <v>200.0</v>
      </c>
      <c r="U10" s="17"/>
      <c r="V10" s="4"/>
      <c r="W10" s="4"/>
      <c r="X10" s="4"/>
    </row>
    <row r="11">
      <c r="A11" s="33">
        <v>4825305.0</v>
      </c>
      <c r="B11" s="33">
        <v>108.0</v>
      </c>
      <c r="C11" s="36">
        <v>46168.0</v>
      </c>
      <c r="D11" s="35" t="s">
        <v>33</v>
      </c>
      <c r="E11" s="36">
        <v>46170.0</v>
      </c>
      <c r="F11" s="35" t="s">
        <v>34</v>
      </c>
      <c r="G11" s="37"/>
      <c r="H11" s="38">
        <v>2400.0</v>
      </c>
      <c r="I11" s="4"/>
      <c r="J11" s="33">
        <v>108.0</v>
      </c>
      <c r="K11" s="26">
        <v>6692827.0</v>
      </c>
      <c r="L11" s="39">
        <v>46166.0</v>
      </c>
      <c r="M11" s="26" t="s">
        <v>35</v>
      </c>
      <c r="N11" s="26"/>
      <c r="O11" s="40">
        <v>283.0</v>
      </c>
      <c r="P11" s="4"/>
      <c r="Q11" s="14" t="s">
        <v>12</v>
      </c>
      <c r="R11" s="14">
        <v>108.0</v>
      </c>
      <c r="S11" s="26">
        <v>4624527.0</v>
      </c>
      <c r="T11" s="16">
        <v>200.0</v>
      </c>
      <c r="U11" s="17"/>
      <c r="V11" s="4"/>
      <c r="W11" s="4"/>
      <c r="X11" s="4"/>
    </row>
    <row r="12">
      <c r="A12" s="33">
        <v>5341688.0</v>
      </c>
      <c r="B12" s="33">
        <v>108.0</v>
      </c>
      <c r="C12" s="36">
        <v>46168.0</v>
      </c>
      <c r="D12" s="35" t="s">
        <v>36</v>
      </c>
      <c r="E12" s="36">
        <v>46170.0</v>
      </c>
      <c r="F12" s="35" t="s">
        <v>37</v>
      </c>
      <c r="G12" s="37"/>
      <c r="H12" s="38">
        <v>900.0</v>
      </c>
      <c r="I12" s="4"/>
      <c r="J12" s="33">
        <v>108.0</v>
      </c>
      <c r="K12" s="26">
        <v>6.5000536E7</v>
      </c>
      <c r="L12" s="39">
        <v>46167.0</v>
      </c>
      <c r="M12" s="26" t="s">
        <v>38</v>
      </c>
      <c r="N12" s="26"/>
      <c r="O12" s="40">
        <v>300.0</v>
      </c>
      <c r="P12" s="4"/>
      <c r="Q12" s="14" t="s">
        <v>12</v>
      </c>
      <c r="R12" s="14">
        <v>108.0</v>
      </c>
      <c r="S12" s="26">
        <v>6573111.0</v>
      </c>
      <c r="T12" s="16">
        <v>296.0</v>
      </c>
      <c r="U12" s="17"/>
      <c r="V12" s="4"/>
      <c r="W12" s="4"/>
      <c r="X12" s="4"/>
      <c r="Y12" s="41" t="s">
        <v>39</v>
      </c>
    </row>
    <row r="13">
      <c r="A13" s="33" t="s">
        <v>40</v>
      </c>
      <c r="B13" s="33">
        <v>106.0</v>
      </c>
      <c r="C13" s="34">
        <v>46169.0</v>
      </c>
      <c r="D13" s="35" t="s">
        <v>41</v>
      </c>
      <c r="E13" s="34">
        <v>46169.0</v>
      </c>
      <c r="F13" s="35" t="s">
        <v>42</v>
      </c>
      <c r="G13" s="37"/>
      <c r="H13" s="38">
        <v>450.0</v>
      </c>
      <c r="I13" s="4"/>
      <c r="J13" s="33">
        <v>108.0</v>
      </c>
      <c r="K13" s="26">
        <v>6815406.0</v>
      </c>
      <c r="L13" s="39">
        <v>46168.0</v>
      </c>
      <c r="M13" s="26" t="s">
        <v>43</v>
      </c>
      <c r="N13" s="26"/>
      <c r="O13" s="40">
        <v>100.0</v>
      </c>
      <c r="P13" s="4"/>
      <c r="Q13" s="14" t="s">
        <v>12</v>
      </c>
      <c r="R13" s="14">
        <v>108.0</v>
      </c>
      <c r="S13" s="26">
        <v>28075.0</v>
      </c>
      <c r="T13" s="16">
        <v>200.0</v>
      </c>
      <c r="U13" s="17"/>
      <c r="V13" s="4"/>
      <c r="W13" s="4"/>
      <c r="X13" s="4"/>
      <c r="Z13" s="41">
        <v>35.0</v>
      </c>
    </row>
    <row r="14">
      <c r="A14" s="33">
        <v>3.6928105E7</v>
      </c>
      <c r="B14" s="33">
        <v>108.0</v>
      </c>
      <c r="C14" s="34">
        <v>46169.0</v>
      </c>
      <c r="D14" s="35" t="s">
        <v>44</v>
      </c>
      <c r="E14" s="36">
        <v>46171.0</v>
      </c>
      <c r="F14" s="35" t="s">
        <v>45</v>
      </c>
      <c r="G14" s="37"/>
      <c r="H14" s="38">
        <v>500.0</v>
      </c>
      <c r="I14" s="4"/>
      <c r="J14" s="33">
        <v>108.0</v>
      </c>
      <c r="K14" s="26">
        <v>4624527.0</v>
      </c>
      <c r="L14" s="39">
        <v>46168.0</v>
      </c>
      <c r="M14" s="26" t="s">
        <v>46</v>
      </c>
      <c r="N14" s="26"/>
      <c r="O14" s="40">
        <v>200.0</v>
      </c>
      <c r="P14" s="4"/>
      <c r="Q14" s="14" t="s">
        <v>12</v>
      </c>
      <c r="R14" s="14">
        <v>108.0</v>
      </c>
      <c r="S14" s="26">
        <v>2836214.0</v>
      </c>
      <c r="T14" s="16">
        <v>200.0</v>
      </c>
      <c r="U14" s="17"/>
      <c r="V14" s="4"/>
      <c r="W14" s="4"/>
      <c r="X14" s="4"/>
      <c r="Z14" s="41">
        <v>36.0</v>
      </c>
    </row>
    <row r="15">
      <c r="A15" s="33"/>
      <c r="B15" s="33"/>
      <c r="C15" s="34"/>
      <c r="D15" s="35"/>
      <c r="E15" s="36"/>
      <c r="F15" s="35"/>
      <c r="G15" s="37"/>
      <c r="H15" s="38"/>
      <c r="I15" s="4"/>
      <c r="J15" s="33">
        <v>108.0</v>
      </c>
      <c r="K15" s="26">
        <v>6573111.0</v>
      </c>
      <c r="L15" s="39">
        <v>46169.0</v>
      </c>
      <c r="M15" s="26" t="s">
        <v>47</v>
      </c>
      <c r="N15" s="26"/>
      <c r="O15" s="40">
        <v>296.0</v>
      </c>
      <c r="P15" s="4"/>
      <c r="Q15" s="14" t="s">
        <v>12</v>
      </c>
      <c r="R15" s="14">
        <v>108.0</v>
      </c>
      <c r="S15" s="26">
        <v>264796.0</v>
      </c>
      <c r="T15" s="16">
        <v>277.29</v>
      </c>
      <c r="U15" s="17"/>
      <c r="V15" s="4"/>
      <c r="W15" s="4"/>
      <c r="X15" s="4"/>
      <c r="Z15" s="42">
        <f>SUM(Z12:Z14)</f>
        <v>71</v>
      </c>
    </row>
    <row r="16">
      <c r="A16" s="33"/>
      <c r="B16" s="33"/>
      <c r="C16" s="34"/>
      <c r="D16" s="35"/>
      <c r="E16" s="36"/>
      <c r="F16" s="35"/>
      <c r="G16" s="37"/>
      <c r="I16" s="4"/>
      <c r="J16" s="33">
        <v>108.0</v>
      </c>
      <c r="K16" s="26">
        <v>28075.0</v>
      </c>
      <c r="L16" s="39">
        <v>46169.0</v>
      </c>
      <c r="M16" s="26" t="s">
        <v>48</v>
      </c>
      <c r="N16" s="26"/>
      <c r="O16" s="40">
        <v>200.0</v>
      </c>
      <c r="P16" s="4"/>
      <c r="Q16" s="14" t="s">
        <v>12</v>
      </c>
      <c r="R16" s="14">
        <v>108.0</v>
      </c>
      <c r="S16" s="26">
        <v>5255.0</v>
      </c>
      <c r="T16" s="16">
        <v>150.0</v>
      </c>
      <c r="U16" s="17"/>
      <c r="V16" s="4"/>
      <c r="W16" s="4"/>
      <c r="X16" s="4"/>
    </row>
    <row r="17">
      <c r="A17" s="33"/>
      <c r="B17" s="33"/>
      <c r="C17" s="34"/>
      <c r="D17" s="35"/>
      <c r="E17" s="36"/>
      <c r="F17" s="35"/>
      <c r="G17" s="37"/>
      <c r="H17" s="38"/>
      <c r="I17" s="4"/>
      <c r="J17" s="33">
        <v>108.0</v>
      </c>
      <c r="K17" s="26">
        <v>2836214.0</v>
      </c>
      <c r="L17" s="39">
        <v>46170.0</v>
      </c>
      <c r="M17" s="26" t="s">
        <v>49</v>
      </c>
      <c r="N17" s="26"/>
      <c r="O17" s="40">
        <v>200.0</v>
      </c>
      <c r="P17" s="4"/>
      <c r="Q17" s="14" t="s">
        <v>50</v>
      </c>
      <c r="R17" s="14">
        <v>108.0</v>
      </c>
      <c r="S17" s="15">
        <v>5356224.0</v>
      </c>
      <c r="T17" s="43">
        <v>30.4</v>
      </c>
      <c r="U17" s="17"/>
      <c r="V17" s="4"/>
      <c r="W17" s="4"/>
      <c r="X17" s="4"/>
    </row>
    <row r="18">
      <c r="A18" s="33"/>
      <c r="B18" s="33"/>
      <c r="C18" s="34"/>
      <c r="D18" s="35"/>
      <c r="E18" s="36"/>
      <c r="F18" s="35"/>
      <c r="G18" s="37"/>
      <c r="H18" s="38"/>
      <c r="I18" s="4"/>
      <c r="J18" s="33">
        <v>108.0</v>
      </c>
      <c r="K18" s="26">
        <v>264796.0</v>
      </c>
      <c r="L18" s="39">
        <v>46170.0</v>
      </c>
      <c r="M18" s="26" t="s">
        <v>37</v>
      </c>
      <c r="N18" s="26"/>
      <c r="O18" s="40">
        <v>277.29</v>
      </c>
      <c r="P18" s="4"/>
      <c r="Q18" s="14" t="s">
        <v>51</v>
      </c>
      <c r="R18" s="14">
        <v>108.0</v>
      </c>
      <c r="S18" s="15" t="s">
        <v>30</v>
      </c>
      <c r="T18" s="43">
        <v>0.6</v>
      </c>
      <c r="U18" s="17"/>
      <c r="V18" s="4"/>
      <c r="W18" s="4"/>
      <c r="X18" s="4"/>
      <c r="Y18" s="41" t="s">
        <v>52</v>
      </c>
      <c r="Z18" s="41">
        <v>318.34</v>
      </c>
    </row>
    <row r="19">
      <c r="A19" s="33"/>
      <c r="B19" s="33"/>
      <c r="C19" s="34"/>
      <c r="D19" s="35"/>
      <c r="E19" s="36"/>
      <c r="F19" s="35"/>
      <c r="G19" s="37"/>
      <c r="H19" s="38"/>
      <c r="I19" s="4"/>
      <c r="J19" s="33">
        <v>108.0</v>
      </c>
      <c r="K19" s="26">
        <v>5255.0</v>
      </c>
      <c r="L19" s="39">
        <v>46170.0</v>
      </c>
      <c r="M19" s="26" t="s">
        <v>53</v>
      </c>
      <c r="N19" s="26"/>
      <c r="O19" s="40">
        <v>150.0</v>
      </c>
      <c r="P19" s="4"/>
      <c r="Q19" s="14" t="s">
        <v>50</v>
      </c>
      <c r="R19" s="14">
        <v>108.0</v>
      </c>
      <c r="S19" s="15">
        <v>28076.0</v>
      </c>
      <c r="T19" s="43">
        <v>23.64</v>
      </c>
      <c r="U19" s="17"/>
      <c r="V19" s="4"/>
      <c r="W19" s="4"/>
      <c r="X19" s="4"/>
      <c r="Z19" s="41">
        <f> 250-235.72</f>
        <v>14.28</v>
      </c>
    </row>
    <row r="20">
      <c r="A20" s="33"/>
      <c r="B20" s="33"/>
      <c r="C20" s="34"/>
      <c r="D20" s="35"/>
      <c r="E20" s="36"/>
      <c r="F20" s="35"/>
      <c r="G20" s="37"/>
      <c r="H20" s="38"/>
      <c r="I20" s="4"/>
      <c r="J20" s="33">
        <v>106.0</v>
      </c>
      <c r="K20" s="26">
        <v>1613409.0</v>
      </c>
      <c r="L20" s="39">
        <v>46169.0</v>
      </c>
      <c r="M20" s="26" t="s">
        <v>54</v>
      </c>
      <c r="N20" s="26"/>
      <c r="O20" s="40">
        <v>342.69</v>
      </c>
      <c r="P20" s="4"/>
      <c r="Q20" s="14" t="s">
        <v>55</v>
      </c>
      <c r="R20" s="14">
        <v>106.0</v>
      </c>
      <c r="S20" s="15" t="s">
        <v>56</v>
      </c>
      <c r="T20" s="16">
        <v>300.0</v>
      </c>
      <c r="U20" s="17"/>
      <c r="V20" s="4"/>
      <c r="W20" s="4"/>
      <c r="X20" s="4"/>
      <c r="Z20" s="41">
        <v>8.36</v>
      </c>
    </row>
    <row r="21">
      <c r="A21" s="33"/>
      <c r="B21" s="33"/>
      <c r="C21" s="34"/>
      <c r="D21" s="35"/>
      <c r="E21" s="36"/>
      <c r="F21" s="35"/>
      <c r="G21" s="37"/>
      <c r="H21" s="38"/>
      <c r="I21" s="4"/>
      <c r="J21" s="33">
        <v>106.0</v>
      </c>
      <c r="K21" s="26">
        <v>106.0</v>
      </c>
      <c r="L21" s="39">
        <v>46170.0</v>
      </c>
      <c r="M21" s="26" t="s">
        <v>30</v>
      </c>
      <c r="N21" s="26"/>
      <c r="O21" s="40">
        <v>117.0</v>
      </c>
      <c r="P21" s="4"/>
      <c r="Q21" s="14" t="s">
        <v>12</v>
      </c>
      <c r="R21" s="14">
        <v>106.0</v>
      </c>
      <c r="S21" s="15">
        <v>106.0</v>
      </c>
      <c r="T21" s="16">
        <v>117.0</v>
      </c>
      <c r="U21" s="17"/>
      <c r="V21" s="4"/>
      <c r="W21" s="4"/>
      <c r="X21" s="4"/>
      <c r="Z21" s="41">
        <v>1.5</v>
      </c>
    </row>
    <row r="22">
      <c r="A22" s="33"/>
      <c r="B22" s="33"/>
      <c r="C22" s="34"/>
      <c r="D22" s="35"/>
      <c r="E22" s="36"/>
      <c r="F22" s="35"/>
      <c r="G22" s="37"/>
      <c r="H22" s="38"/>
      <c r="I22" s="4"/>
      <c r="J22" s="33">
        <v>106.0</v>
      </c>
      <c r="K22" s="26" t="s">
        <v>57</v>
      </c>
      <c r="L22" s="39">
        <v>46171.0</v>
      </c>
      <c r="M22" s="26" t="s">
        <v>31</v>
      </c>
      <c r="N22" s="26"/>
      <c r="O22" s="40">
        <v>160.03</v>
      </c>
      <c r="P22" s="4"/>
      <c r="Q22" s="14" t="s">
        <v>55</v>
      </c>
      <c r="R22" s="14">
        <v>106.0</v>
      </c>
      <c r="S22" s="15" t="s">
        <v>56</v>
      </c>
      <c r="T22" s="16">
        <v>400.0</v>
      </c>
      <c r="U22" s="44"/>
      <c r="V22" s="4"/>
      <c r="W22" s="4"/>
      <c r="X22" s="4"/>
      <c r="Z22" s="41">
        <v>1.5</v>
      </c>
    </row>
    <row r="23">
      <c r="A23" s="33"/>
      <c r="B23" s="33"/>
      <c r="C23" s="34"/>
      <c r="D23" s="35"/>
      <c r="E23" s="36"/>
      <c r="F23" s="35"/>
      <c r="G23" s="37"/>
      <c r="H23" s="38"/>
      <c r="I23" s="4"/>
      <c r="J23" s="33">
        <v>106.0</v>
      </c>
      <c r="K23" s="26" t="s">
        <v>58</v>
      </c>
      <c r="L23" s="39">
        <v>46172.0</v>
      </c>
      <c r="M23" s="26" t="s">
        <v>31</v>
      </c>
      <c r="N23" s="26"/>
      <c r="O23" s="40">
        <v>175.0</v>
      </c>
      <c r="P23" s="4"/>
      <c r="Q23" s="14" t="s">
        <v>12</v>
      </c>
      <c r="R23" s="14">
        <v>106.0</v>
      </c>
      <c r="S23" s="14" t="s">
        <v>57</v>
      </c>
      <c r="T23" s="16">
        <v>160.03</v>
      </c>
      <c r="U23" s="17"/>
      <c r="V23" s="4"/>
      <c r="W23" s="4"/>
      <c r="X23" s="4"/>
      <c r="Z23" s="41">
        <v>0.85</v>
      </c>
    </row>
    <row r="24">
      <c r="A24" s="33"/>
      <c r="B24" s="33"/>
      <c r="C24" s="34"/>
      <c r="D24" s="35"/>
      <c r="E24" s="36"/>
      <c r="F24" s="35"/>
      <c r="G24" s="37"/>
      <c r="H24" s="38"/>
      <c r="I24" s="4"/>
      <c r="J24" s="33">
        <v>108.0</v>
      </c>
      <c r="K24" s="26">
        <v>13484.0</v>
      </c>
      <c r="L24" s="39">
        <v>46171.0</v>
      </c>
      <c r="M24" s="26" t="s">
        <v>45</v>
      </c>
      <c r="N24" s="26"/>
      <c r="O24" s="45">
        <v>150.0</v>
      </c>
      <c r="P24" s="4"/>
      <c r="Q24" s="14" t="s">
        <v>12</v>
      </c>
      <c r="R24" s="14">
        <v>106.0</v>
      </c>
      <c r="S24" s="14" t="s">
        <v>58</v>
      </c>
      <c r="T24" s="16">
        <v>175.0</v>
      </c>
      <c r="U24" s="17"/>
      <c r="V24" s="4"/>
      <c r="W24" s="4"/>
      <c r="X24" s="4"/>
    </row>
    <row r="25">
      <c r="A25" s="33"/>
      <c r="B25" s="33"/>
      <c r="C25" s="34"/>
      <c r="D25" s="35"/>
      <c r="E25" s="36"/>
      <c r="F25" s="35"/>
      <c r="G25" s="37"/>
      <c r="H25" s="38"/>
      <c r="I25" s="4"/>
      <c r="J25" s="33">
        <v>108.0</v>
      </c>
      <c r="K25" s="26">
        <v>4542633.0</v>
      </c>
      <c r="L25" s="39">
        <v>46172.0</v>
      </c>
      <c r="M25" s="26" t="s">
        <v>59</v>
      </c>
      <c r="N25" s="26"/>
      <c r="O25" s="45">
        <v>235.72</v>
      </c>
      <c r="P25" s="4"/>
      <c r="Q25" s="46" t="s">
        <v>10</v>
      </c>
      <c r="R25" s="46">
        <v>106.0</v>
      </c>
      <c r="S25" s="47" t="s">
        <v>60</v>
      </c>
      <c r="T25" s="48"/>
      <c r="U25" s="48">
        <f>T22-T23-T24</f>
        <v>64.97</v>
      </c>
      <c r="V25" s="4"/>
      <c r="W25" s="4"/>
      <c r="X25" s="4"/>
    </row>
    <row r="26">
      <c r="A26" s="33"/>
      <c r="B26" s="33"/>
      <c r="C26" s="34"/>
      <c r="D26" s="35"/>
      <c r="E26" s="36"/>
      <c r="F26" s="35"/>
      <c r="G26" s="37"/>
      <c r="H26" s="38"/>
      <c r="I26" s="4"/>
      <c r="J26" s="33">
        <v>108.0</v>
      </c>
      <c r="K26" s="26">
        <v>6644558.0</v>
      </c>
      <c r="L26" s="39">
        <v>46172.0</v>
      </c>
      <c r="M26" s="26" t="s">
        <v>61</v>
      </c>
      <c r="N26" s="26"/>
      <c r="O26" s="45">
        <v>250.0</v>
      </c>
      <c r="P26" s="4"/>
      <c r="Q26" s="14" t="s">
        <v>62</v>
      </c>
      <c r="R26" s="14">
        <v>106.0</v>
      </c>
      <c r="S26" s="33">
        <v>26876.0</v>
      </c>
      <c r="T26" s="16"/>
      <c r="U26" s="49">
        <v>1869.0</v>
      </c>
      <c r="V26" s="4"/>
      <c r="W26" s="4"/>
      <c r="X26" s="4"/>
    </row>
    <row r="27">
      <c r="A27" s="33"/>
      <c r="B27" s="33"/>
      <c r="C27" s="34"/>
      <c r="D27" s="35"/>
      <c r="E27" s="36"/>
      <c r="F27" s="35"/>
      <c r="G27" s="37"/>
      <c r="H27" s="38"/>
      <c r="I27" s="4"/>
      <c r="J27" s="33">
        <v>108.0</v>
      </c>
      <c r="K27" s="26">
        <v>3.8016132E7</v>
      </c>
      <c r="L27" s="39">
        <v>46173.0</v>
      </c>
      <c r="M27" s="26" t="s">
        <v>63</v>
      </c>
      <c r="N27" s="26"/>
      <c r="O27" s="45">
        <v>100.0</v>
      </c>
      <c r="P27" s="4"/>
      <c r="Q27" s="14" t="s">
        <v>62</v>
      </c>
      <c r="R27" s="14">
        <v>108.0</v>
      </c>
      <c r="S27" s="33">
        <v>4825305.0</v>
      </c>
      <c r="T27" s="16"/>
      <c r="U27" s="49">
        <v>2136.0</v>
      </c>
      <c r="V27" s="4"/>
      <c r="W27" s="4"/>
      <c r="X27" s="4"/>
    </row>
    <row r="28">
      <c r="A28" s="33"/>
      <c r="B28" s="33"/>
      <c r="C28" s="34"/>
      <c r="D28" s="35"/>
      <c r="E28" s="36"/>
      <c r="F28" s="35"/>
      <c r="G28" s="37"/>
      <c r="H28" s="38"/>
      <c r="I28" s="4"/>
      <c r="J28" s="33">
        <v>108.0</v>
      </c>
      <c r="K28" s="26">
        <v>3.8016131E7</v>
      </c>
      <c r="L28" s="39">
        <v>46173.0</v>
      </c>
      <c r="M28" s="26" t="s">
        <v>63</v>
      </c>
      <c r="N28" s="26"/>
      <c r="O28" s="45">
        <v>150.0</v>
      </c>
      <c r="P28" s="4"/>
      <c r="Q28" s="14" t="s">
        <v>62</v>
      </c>
      <c r="R28" s="14">
        <v>108.0</v>
      </c>
      <c r="S28" s="33">
        <v>5341688.0</v>
      </c>
      <c r="T28" s="16"/>
      <c r="U28" s="49">
        <v>801.0</v>
      </c>
      <c r="V28" s="4"/>
      <c r="W28" s="4"/>
      <c r="X28" s="4"/>
    </row>
    <row r="29">
      <c r="A29" s="33"/>
      <c r="B29" s="33"/>
      <c r="C29" s="34"/>
      <c r="D29" s="35"/>
      <c r="E29" s="36"/>
      <c r="F29" s="35"/>
      <c r="G29" s="37"/>
      <c r="H29" s="38"/>
      <c r="I29" s="4"/>
      <c r="J29" s="33">
        <v>108.0</v>
      </c>
      <c r="K29" s="26">
        <v>315791.0</v>
      </c>
      <c r="L29" s="39">
        <v>46174.0</v>
      </c>
      <c r="M29" s="26" t="s">
        <v>64</v>
      </c>
      <c r="N29" s="26"/>
      <c r="O29" s="45">
        <v>150.0</v>
      </c>
      <c r="P29" s="4"/>
      <c r="Q29" s="14" t="s">
        <v>62</v>
      </c>
      <c r="R29" s="14">
        <v>106.0</v>
      </c>
      <c r="S29" s="33" t="s">
        <v>40</v>
      </c>
      <c r="T29" s="16"/>
      <c r="U29" s="49">
        <v>400.5</v>
      </c>
      <c r="V29" s="4"/>
      <c r="W29" s="4"/>
      <c r="X29" s="4"/>
    </row>
    <row r="30">
      <c r="A30" s="33"/>
      <c r="B30" s="33"/>
      <c r="C30" s="34"/>
      <c r="D30" s="35"/>
      <c r="E30" s="36"/>
      <c r="F30" s="35"/>
      <c r="G30" s="37"/>
      <c r="H30" s="38"/>
      <c r="I30" s="4"/>
      <c r="J30" s="33">
        <v>108.0</v>
      </c>
      <c r="K30" s="26" t="s">
        <v>65</v>
      </c>
      <c r="L30" s="39">
        <v>46174.0</v>
      </c>
      <c r="M30" s="26" t="s">
        <v>66</v>
      </c>
      <c r="N30" s="26"/>
      <c r="O30" s="45">
        <v>200.0</v>
      </c>
      <c r="P30" s="4"/>
      <c r="Q30" s="14" t="s">
        <v>62</v>
      </c>
      <c r="R30" s="14">
        <v>108.0</v>
      </c>
      <c r="S30" s="33">
        <v>3.6928105E7</v>
      </c>
      <c r="T30" s="16"/>
      <c r="U30" s="49">
        <v>445.0</v>
      </c>
      <c r="V30" s="4"/>
      <c r="W30" s="4"/>
      <c r="X30" s="4"/>
    </row>
    <row r="31">
      <c r="A31" s="33"/>
      <c r="B31" s="33"/>
      <c r="C31" s="34"/>
      <c r="D31" s="35"/>
      <c r="E31" s="36"/>
      <c r="F31" s="35"/>
      <c r="G31" s="37"/>
      <c r="H31" s="38"/>
      <c r="I31" s="4"/>
      <c r="J31" s="33">
        <v>108.0</v>
      </c>
      <c r="K31" s="26">
        <v>2455253.0</v>
      </c>
      <c r="L31" s="39">
        <v>46175.0</v>
      </c>
      <c r="M31" s="26" t="s">
        <v>67</v>
      </c>
      <c r="N31" s="26"/>
      <c r="O31" s="45">
        <v>250.0</v>
      </c>
      <c r="P31" s="4"/>
      <c r="Q31" s="14" t="s">
        <v>68</v>
      </c>
      <c r="R31" s="14">
        <v>106.0</v>
      </c>
      <c r="S31" s="33" t="s">
        <v>69</v>
      </c>
      <c r="T31" s="16">
        <v>637.0</v>
      </c>
      <c r="U31" s="17"/>
      <c r="V31" s="4"/>
      <c r="W31" s="4"/>
      <c r="X31" s="4"/>
    </row>
    <row r="32">
      <c r="A32" s="33"/>
      <c r="B32" s="33"/>
      <c r="C32" s="34"/>
      <c r="D32" s="35"/>
      <c r="E32" s="36"/>
      <c r="F32" s="35"/>
      <c r="G32" s="37"/>
      <c r="H32" s="38">
        <f>SUM(H9:H31)</f>
        <v>9225</v>
      </c>
      <c r="I32" s="4"/>
      <c r="J32" s="33">
        <v>106.0</v>
      </c>
      <c r="K32" s="26">
        <v>5938225.0</v>
      </c>
      <c r="L32" s="39">
        <v>46173.0</v>
      </c>
      <c r="M32" s="26" t="s">
        <v>70</v>
      </c>
      <c r="N32" s="26"/>
      <c r="O32" s="40">
        <v>365.05</v>
      </c>
      <c r="P32" s="4"/>
      <c r="Q32" s="14" t="s">
        <v>68</v>
      </c>
      <c r="R32" s="14">
        <v>108.0</v>
      </c>
      <c r="S32" s="15" t="s">
        <v>71</v>
      </c>
      <c r="T32" s="16">
        <f>185.72*6</f>
        <v>1114.32</v>
      </c>
      <c r="U32" s="17"/>
      <c r="V32" s="4"/>
      <c r="W32" s="4"/>
      <c r="X32" s="4"/>
    </row>
    <row r="33">
      <c r="A33" s="4"/>
      <c r="B33" s="4"/>
      <c r="C33" s="4"/>
      <c r="D33" s="4"/>
      <c r="E33" s="50"/>
      <c r="F33" s="4"/>
      <c r="G33" s="4"/>
      <c r="H33" s="4"/>
      <c r="I33" s="4"/>
      <c r="J33" s="33">
        <v>106.0</v>
      </c>
      <c r="K33" s="26">
        <v>1077838.0</v>
      </c>
      <c r="L33" s="39">
        <v>46174.0</v>
      </c>
      <c r="M33" s="26" t="s">
        <v>72</v>
      </c>
      <c r="N33" s="26"/>
      <c r="O33" s="40">
        <v>400.0</v>
      </c>
      <c r="P33" s="4"/>
      <c r="Q33" s="14" t="s">
        <v>73</v>
      </c>
      <c r="R33" s="14">
        <v>108.0</v>
      </c>
      <c r="S33" s="15" t="s">
        <v>74</v>
      </c>
      <c r="T33" s="16">
        <f>150</f>
        <v>150</v>
      </c>
      <c r="U33" s="17"/>
      <c r="V33" s="4"/>
      <c r="W33" s="4"/>
      <c r="X33" s="4"/>
      <c r="AA33" s="41"/>
    </row>
    <row r="34">
      <c r="A34" s="4"/>
      <c r="B34" s="4"/>
      <c r="C34" s="5" t="s">
        <v>75</v>
      </c>
      <c r="E34" s="50"/>
      <c r="F34" s="4"/>
      <c r="G34" s="4"/>
      <c r="H34" s="4"/>
      <c r="I34" s="4"/>
      <c r="J34" s="33">
        <v>106.0</v>
      </c>
      <c r="K34" s="26">
        <v>90442.0</v>
      </c>
      <c r="L34" s="39">
        <v>46175.0</v>
      </c>
      <c r="M34" s="26" t="s">
        <v>76</v>
      </c>
      <c r="N34" s="26"/>
      <c r="O34" s="40">
        <v>318.53</v>
      </c>
      <c r="P34" s="4"/>
      <c r="Q34" s="51" t="s">
        <v>12</v>
      </c>
      <c r="R34" s="14">
        <v>108.0</v>
      </c>
      <c r="S34" s="26">
        <v>13484.0</v>
      </c>
      <c r="T34" s="16">
        <v>150.0</v>
      </c>
      <c r="U34" s="17"/>
      <c r="V34" s="4"/>
      <c r="W34" s="4"/>
      <c r="X34" s="4"/>
      <c r="Z34" s="42"/>
    </row>
    <row r="35">
      <c r="A35" s="8" t="s">
        <v>3</v>
      </c>
      <c r="B35" s="8" t="s">
        <v>77</v>
      </c>
      <c r="C35" s="8" t="s">
        <v>78</v>
      </c>
      <c r="D35" s="52" t="s">
        <v>79</v>
      </c>
      <c r="E35" s="53"/>
      <c r="F35" s="54" t="s">
        <v>80</v>
      </c>
      <c r="G35" s="4"/>
      <c r="H35" s="4"/>
      <c r="I35" s="4"/>
      <c r="J35" s="33">
        <v>106.0</v>
      </c>
      <c r="K35" s="26">
        <v>9126097.0</v>
      </c>
      <c r="L35" s="39">
        <v>46175.0</v>
      </c>
      <c r="M35" s="26" t="s">
        <v>76</v>
      </c>
      <c r="N35" s="26"/>
      <c r="O35" s="40">
        <v>101.33</v>
      </c>
      <c r="P35" s="4"/>
      <c r="Q35" s="51" t="s">
        <v>12</v>
      </c>
      <c r="R35" s="14">
        <v>108.0</v>
      </c>
      <c r="S35" s="26">
        <v>4542633.0</v>
      </c>
      <c r="T35" s="55">
        <v>235.72</v>
      </c>
      <c r="U35" s="17"/>
      <c r="V35" s="4"/>
      <c r="W35" s="4"/>
      <c r="X35" s="4"/>
    </row>
    <row r="36">
      <c r="A36" s="33">
        <v>108.0</v>
      </c>
      <c r="B36" s="15" t="s">
        <v>50</v>
      </c>
      <c r="C36" s="15">
        <v>5356224.0</v>
      </c>
      <c r="D36" s="56" t="s">
        <v>50</v>
      </c>
      <c r="E36" s="53"/>
      <c r="F36" s="57">
        <v>30.4</v>
      </c>
      <c r="G36" s="4"/>
      <c r="H36" s="4"/>
      <c r="I36" s="4"/>
      <c r="J36" s="33"/>
      <c r="K36" s="26"/>
      <c r="L36" s="26"/>
      <c r="M36" s="26"/>
      <c r="N36" s="26"/>
      <c r="O36" s="40"/>
      <c r="P36" s="4"/>
      <c r="Q36" s="51" t="s">
        <v>12</v>
      </c>
      <c r="R36" s="14">
        <v>108.0</v>
      </c>
      <c r="S36" s="26">
        <v>6644558.0</v>
      </c>
      <c r="T36" s="16">
        <v>250.0</v>
      </c>
      <c r="U36" s="17"/>
      <c r="V36" s="4"/>
      <c r="W36" s="4"/>
      <c r="X36" s="4"/>
    </row>
    <row r="37">
      <c r="A37" s="33">
        <v>108.0</v>
      </c>
      <c r="B37" s="15" t="s">
        <v>51</v>
      </c>
      <c r="C37" s="15" t="s">
        <v>30</v>
      </c>
      <c r="D37" s="56" t="s">
        <v>81</v>
      </c>
      <c r="E37" s="53"/>
      <c r="F37" s="57">
        <v>0.6</v>
      </c>
      <c r="G37" s="4"/>
      <c r="H37" s="4"/>
      <c r="I37" s="4"/>
      <c r="J37" s="33"/>
      <c r="K37" s="26"/>
      <c r="L37" s="26"/>
      <c r="M37" s="26"/>
      <c r="N37" s="26"/>
      <c r="O37" s="40"/>
      <c r="P37" s="4"/>
      <c r="Q37" s="51" t="s">
        <v>12</v>
      </c>
      <c r="R37" s="14">
        <v>108.0</v>
      </c>
      <c r="S37" s="26">
        <v>3.8016132E7</v>
      </c>
      <c r="T37" s="16">
        <v>100.0</v>
      </c>
      <c r="U37" s="17"/>
      <c r="V37" s="4"/>
      <c r="W37" s="4"/>
      <c r="X37" s="4"/>
    </row>
    <row r="38">
      <c r="A38" s="33">
        <v>108.0</v>
      </c>
      <c r="B38" s="15" t="s">
        <v>50</v>
      </c>
      <c r="C38" s="15">
        <v>28076.0</v>
      </c>
      <c r="D38" s="56" t="s">
        <v>50</v>
      </c>
      <c r="E38" s="53"/>
      <c r="F38" s="57">
        <v>23.64</v>
      </c>
      <c r="G38" s="4"/>
      <c r="H38" s="4"/>
      <c r="I38" s="4"/>
      <c r="J38" s="33"/>
      <c r="K38" s="26"/>
      <c r="L38" s="26"/>
      <c r="M38" s="26"/>
      <c r="N38" s="26"/>
      <c r="O38" s="40"/>
      <c r="P38" s="4"/>
      <c r="Q38" s="51" t="s">
        <v>12</v>
      </c>
      <c r="R38" s="14">
        <v>108.0</v>
      </c>
      <c r="S38" s="26">
        <v>3.8016131E7</v>
      </c>
      <c r="T38" s="16">
        <v>150.0</v>
      </c>
      <c r="U38" s="17"/>
      <c r="V38" s="4"/>
      <c r="W38" s="4"/>
      <c r="X38" s="4"/>
    </row>
    <row r="39">
      <c r="A39" s="33">
        <v>108.0</v>
      </c>
      <c r="B39" s="15" t="s">
        <v>50</v>
      </c>
      <c r="C39" s="26">
        <v>13484.0</v>
      </c>
      <c r="D39" s="56" t="s">
        <v>50</v>
      </c>
      <c r="E39" s="53"/>
      <c r="F39" s="57">
        <v>21.99</v>
      </c>
      <c r="G39" s="4"/>
      <c r="H39" s="4"/>
      <c r="I39" s="4"/>
      <c r="J39" s="33"/>
      <c r="K39" s="26"/>
      <c r="L39" s="26"/>
      <c r="M39" s="26"/>
      <c r="N39" s="26"/>
      <c r="O39" s="40"/>
      <c r="P39" s="4"/>
      <c r="Q39" s="51" t="s">
        <v>12</v>
      </c>
      <c r="R39" s="14">
        <v>108.0</v>
      </c>
      <c r="S39" s="26">
        <v>315791.0</v>
      </c>
      <c r="T39" s="16">
        <v>150.0</v>
      </c>
      <c r="U39" s="17"/>
      <c r="V39" s="4"/>
      <c r="W39" s="4"/>
      <c r="X39" s="4"/>
    </row>
    <row r="40">
      <c r="A40" s="33">
        <v>108.0</v>
      </c>
      <c r="B40" s="15" t="s">
        <v>50</v>
      </c>
      <c r="C40" s="15">
        <v>3618392.0</v>
      </c>
      <c r="D40" s="56" t="s">
        <v>50</v>
      </c>
      <c r="E40" s="53"/>
      <c r="F40" s="57">
        <v>22.69</v>
      </c>
      <c r="G40" s="4"/>
      <c r="H40" s="4"/>
      <c r="I40" s="4"/>
      <c r="J40" s="33"/>
      <c r="K40" s="26"/>
      <c r="L40" s="26"/>
      <c r="M40" s="26"/>
      <c r="N40" s="26"/>
      <c r="O40" s="40"/>
      <c r="P40" s="4"/>
      <c r="Q40" s="51" t="s">
        <v>12</v>
      </c>
      <c r="R40" s="14">
        <v>108.0</v>
      </c>
      <c r="S40" s="26" t="s">
        <v>65</v>
      </c>
      <c r="T40" s="16">
        <v>200.0</v>
      </c>
      <c r="U40" s="17"/>
      <c r="V40" s="4"/>
      <c r="W40" s="4"/>
      <c r="X40" s="4"/>
    </row>
    <row r="41">
      <c r="A41" s="33">
        <v>106.0</v>
      </c>
      <c r="B41" s="15" t="s">
        <v>82</v>
      </c>
      <c r="C41" s="15" t="s">
        <v>82</v>
      </c>
      <c r="D41" s="56" t="s">
        <v>82</v>
      </c>
      <c r="E41" s="53"/>
      <c r="F41" s="57">
        <v>25.0</v>
      </c>
      <c r="G41" s="4"/>
      <c r="H41" s="4"/>
      <c r="I41" s="4"/>
      <c r="J41" s="33"/>
      <c r="K41" s="26"/>
      <c r="L41" s="26"/>
      <c r="M41" s="26"/>
      <c r="N41" s="26"/>
      <c r="O41" s="40"/>
      <c r="P41" s="4"/>
      <c r="Q41" s="51" t="s">
        <v>12</v>
      </c>
      <c r="R41" s="14">
        <v>108.0</v>
      </c>
      <c r="S41" s="26">
        <v>2455253.0</v>
      </c>
      <c r="T41" s="16">
        <v>250.0</v>
      </c>
      <c r="U41" s="17"/>
      <c r="V41" s="4"/>
      <c r="W41" s="4"/>
      <c r="X41" s="4"/>
    </row>
    <row r="42">
      <c r="A42" s="33"/>
      <c r="B42" s="15"/>
      <c r="C42" s="15"/>
      <c r="D42" s="56"/>
      <c r="E42" s="53"/>
      <c r="F42" s="57"/>
      <c r="G42" s="4"/>
      <c r="H42" s="4"/>
      <c r="I42" s="4"/>
      <c r="J42" s="33"/>
      <c r="K42" s="26"/>
      <c r="L42" s="26"/>
      <c r="M42" s="26"/>
      <c r="N42" s="26"/>
      <c r="O42" s="40"/>
      <c r="P42" s="4"/>
      <c r="Q42" s="51" t="s">
        <v>12</v>
      </c>
      <c r="R42" s="14">
        <v>106.0</v>
      </c>
      <c r="S42" s="26">
        <v>5938225.0</v>
      </c>
      <c r="T42" s="16">
        <v>365.05</v>
      </c>
      <c r="U42" s="17"/>
      <c r="V42" s="4"/>
      <c r="W42" s="4"/>
      <c r="X42" s="4"/>
    </row>
    <row r="43">
      <c r="A43" s="33"/>
      <c r="B43" s="15"/>
      <c r="C43" s="15"/>
      <c r="D43" s="56"/>
      <c r="E43" s="53"/>
      <c r="F43" s="57"/>
      <c r="G43" s="4"/>
      <c r="H43" s="4"/>
      <c r="I43" s="4"/>
      <c r="J43" s="33"/>
      <c r="K43" s="26"/>
      <c r="L43" s="26"/>
      <c r="M43" s="26"/>
      <c r="N43" s="26"/>
      <c r="O43" s="40"/>
      <c r="P43" s="4"/>
      <c r="Q43" s="51" t="s">
        <v>12</v>
      </c>
      <c r="R43" s="14">
        <v>106.0</v>
      </c>
      <c r="S43" s="15">
        <v>1077838.0</v>
      </c>
      <c r="T43" s="16">
        <v>400.0</v>
      </c>
      <c r="U43" s="17"/>
      <c r="V43" s="4"/>
      <c r="W43" s="4"/>
      <c r="X43" s="4"/>
    </row>
    <row r="44">
      <c r="A44" s="33"/>
      <c r="B44" s="15"/>
      <c r="C44" s="15"/>
      <c r="D44" s="56"/>
      <c r="E44" s="53"/>
      <c r="F44" s="57"/>
      <c r="G44" s="4"/>
      <c r="H44" s="4"/>
      <c r="I44" s="4"/>
      <c r="J44" s="33"/>
      <c r="K44" s="58"/>
      <c r="L44" s="58"/>
      <c r="M44" s="58"/>
      <c r="N44" s="58"/>
      <c r="O44" s="59"/>
      <c r="P44" s="4"/>
      <c r="Q44" s="14" t="s">
        <v>82</v>
      </c>
      <c r="R44" s="14">
        <v>106.0</v>
      </c>
      <c r="S44" s="15" t="s">
        <v>82</v>
      </c>
      <c r="T44" s="16">
        <v>25.0</v>
      </c>
      <c r="U44" s="17"/>
      <c r="V44" s="4"/>
      <c r="W44" s="4"/>
      <c r="X44" s="4"/>
    </row>
    <row r="45">
      <c r="A45" s="33"/>
      <c r="B45" s="15"/>
      <c r="C45" s="15"/>
      <c r="D45" s="56"/>
      <c r="E45" s="53"/>
      <c r="F45" s="57"/>
      <c r="G45" s="4"/>
      <c r="H45" s="4"/>
      <c r="I45" s="4"/>
      <c r="J45" s="33"/>
      <c r="K45" s="58"/>
      <c r="L45" s="58"/>
      <c r="M45" s="58"/>
      <c r="N45" s="58"/>
      <c r="O45" s="59"/>
      <c r="P45" s="4"/>
      <c r="Q45" s="14" t="s">
        <v>83</v>
      </c>
      <c r="R45" s="14">
        <v>108.0</v>
      </c>
      <c r="S45" s="15" t="s">
        <v>84</v>
      </c>
      <c r="T45" s="16">
        <v>150.0</v>
      </c>
      <c r="U45" s="17"/>
      <c r="V45" s="4"/>
      <c r="W45" s="4"/>
      <c r="X45" s="4"/>
    </row>
    <row r="46">
      <c r="A46" s="33"/>
      <c r="B46" s="15"/>
      <c r="C46" s="15"/>
      <c r="D46" s="56"/>
      <c r="E46" s="53"/>
      <c r="F46" s="57"/>
      <c r="G46" s="4"/>
      <c r="H46" s="4"/>
      <c r="I46" s="4"/>
      <c r="J46" s="33"/>
      <c r="K46" s="58"/>
      <c r="L46" s="58"/>
      <c r="M46" s="58"/>
      <c r="N46" s="58"/>
      <c r="O46" s="59"/>
      <c r="P46" s="4"/>
      <c r="Q46" s="14" t="s">
        <v>12</v>
      </c>
      <c r="R46" s="14">
        <v>106.0</v>
      </c>
      <c r="S46" s="15">
        <v>90442.0</v>
      </c>
      <c r="T46" s="16">
        <v>318.53</v>
      </c>
      <c r="U46" s="17"/>
      <c r="V46" s="4"/>
      <c r="W46" s="4"/>
      <c r="X46" s="4"/>
    </row>
    <row r="47">
      <c r="A47" s="33"/>
      <c r="B47" s="15"/>
      <c r="C47" s="15"/>
      <c r="D47" s="56"/>
      <c r="E47" s="53"/>
      <c r="F47" s="57"/>
      <c r="G47" s="4"/>
      <c r="H47" s="4"/>
      <c r="I47" s="4"/>
      <c r="J47" s="33"/>
      <c r="K47" s="58"/>
      <c r="L47" s="58"/>
      <c r="M47" s="58"/>
      <c r="N47" s="58"/>
      <c r="O47" s="59"/>
      <c r="P47" s="4"/>
      <c r="Q47" s="14" t="s">
        <v>12</v>
      </c>
      <c r="R47" s="14">
        <v>106.0</v>
      </c>
      <c r="S47" s="15">
        <v>9126097.0</v>
      </c>
      <c r="T47" s="16">
        <v>101.33</v>
      </c>
      <c r="U47" s="17"/>
      <c r="V47" s="4"/>
      <c r="W47" s="4"/>
      <c r="X47" s="4"/>
    </row>
    <row r="48">
      <c r="A48" s="33"/>
      <c r="B48" s="15"/>
      <c r="C48" s="15"/>
      <c r="D48" s="56"/>
      <c r="E48" s="53"/>
      <c r="F48" s="57"/>
      <c r="G48" s="4"/>
      <c r="H48" s="4"/>
      <c r="I48" s="4"/>
      <c r="J48" s="4"/>
      <c r="K48" s="58"/>
      <c r="L48" s="58"/>
      <c r="M48" s="58"/>
      <c r="N48" s="60" t="s">
        <v>85</v>
      </c>
      <c r="O48" s="61">
        <f>SUM(O9:O34)</f>
        <v>5885.71</v>
      </c>
      <c r="P48" s="4"/>
      <c r="Q48" s="14"/>
      <c r="R48" s="14"/>
      <c r="S48" s="15"/>
      <c r="T48" s="16"/>
      <c r="U48" s="17"/>
      <c r="V48" s="4"/>
      <c r="W48" s="4"/>
      <c r="X48" s="4"/>
    </row>
    <row r="49">
      <c r="A49" s="33"/>
      <c r="B49" s="15"/>
      <c r="C49" s="15"/>
      <c r="D49" s="56"/>
      <c r="E49" s="53"/>
      <c r="F49" s="57"/>
      <c r="G49" s="4"/>
      <c r="H49" s="4"/>
      <c r="I49" s="4"/>
      <c r="J49" s="4"/>
      <c r="K49" s="4"/>
      <c r="L49" s="4"/>
      <c r="M49" s="30"/>
      <c r="N49" s="4"/>
      <c r="O49" s="11"/>
      <c r="P49" s="11"/>
      <c r="Q49" s="14"/>
      <c r="R49" s="14"/>
      <c r="S49" s="15"/>
      <c r="T49" s="16"/>
      <c r="U49" s="17"/>
      <c r="V49" s="4"/>
      <c r="W49" s="4"/>
      <c r="X49" s="4"/>
    </row>
    <row r="50">
      <c r="A50" s="33"/>
      <c r="B50" s="62"/>
      <c r="C50" s="62"/>
      <c r="D50" s="63"/>
      <c r="E50" s="64"/>
      <c r="F50" s="65"/>
      <c r="G50" s="4"/>
      <c r="H50" s="4"/>
      <c r="I50" s="4"/>
      <c r="J50" s="4"/>
      <c r="K50" s="4"/>
      <c r="L50" s="4"/>
      <c r="M50" s="30"/>
      <c r="N50" s="4"/>
      <c r="O50" s="11"/>
      <c r="P50" s="11"/>
      <c r="Q50" s="14"/>
      <c r="R50" s="14"/>
      <c r="S50" s="15"/>
      <c r="T50" s="16"/>
      <c r="U50" s="17"/>
      <c r="V50" s="4"/>
      <c r="W50" s="4"/>
      <c r="X50" s="4"/>
    </row>
    <row r="51">
      <c r="A51" s="33"/>
      <c r="B51" s="62"/>
      <c r="C51" s="62"/>
      <c r="D51" s="63"/>
      <c r="E51" s="64"/>
      <c r="F51" s="65"/>
      <c r="G51" s="4"/>
      <c r="H51" s="4"/>
      <c r="I51" s="4"/>
      <c r="J51" s="4"/>
      <c r="K51" s="4"/>
      <c r="L51" s="39"/>
      <c r="M51" s="66" t="str">
        <f>#REF!</f>
        <v>#REF!</v>
      </c>
      <c r="N51" s="4"/>
      <c r="O51" s="11"/>
      <c r="P51" s="11"/>
      <c r="Q51" s="14"/>
      <c r="R51" s="14"/>
      <c r="S51" s="15"/>
      <c r="T51" s="16"/>
      <c r="U51" s="17"/>
      <c r="V51" s="4"/>
      <c r="W51" s="4"/>
      <c r="X51" s="4"/>
    </row>
    <row r="52">
      <c r="A52" s="33"/>
      <c r="B52" s="62"/>
      <c r="C52" s="62"/>
      <c r="D52" s="63"/>
      <c r="E52" s="64"/>
      <c r="F52" s="65"/>
      <c r="G52" s="4"/>
      <c r="H52" s="4"/>
      <c r="I52" s="4"/>
      <c r="J52" s="4"/>
      <c r="K52" s="4"/>
      <c r="L52" s="10" t="s">
        <v>86</v>
      </c>
      <c r="M52" s="66">
        <f>O48</f>
        <v>5885.71</v>
      </c>
      <c r="N52" s="4"/>
      <c r="O52" s="11"/>
      <c r="P52" s="11"/>
      <c r="Q52" s="14"/>
      <c r="R52" s="14"/>
      <c r="S52" s="15"/>
      <c r="T52" s="16"/>
      <c r="U52" s="17"/>
      <c r="V52" s="4"/>
      <c r="W52" s="4"/>
      <c r="X52" s="4"/>
    </row>
    <row r="53">
      <c r="A53" s="33"/>
      <c r="B53" s="62"/>
      <c r="C53" s="62"/>
      <c r="D53" s="63"/>
      <c r="E53" s="64"/>
      <c r="F53" s="65"/>
      <c r="G53" s="4"/>
      <c r="H53" s="4"/>
      <c r="I53" s="4"/>
      <c r="J53" s="4"/>
      <c r="K53" s="4"/>
      <c r="L53" s="10" t="s">
        <v>75</v>
      </c>
      <c r="M53" s="66">
        <f>F56</f>
        <v>124.32</v>
      </c>
      <c r="N53" s="4"/>
      <c r="O53" s="11"/>
      <c r="P53" s="11"/>
      <c r="Q53" s="14"/>
      <c r="R53" s="14"/>
      <c r="S53" s="15"/>
      <c r="T53" s="16"/>
      <c r="U53" s="17"/>
      <c r="V53" s="4"/>
      <c r="W53" s="4"/>
      <c r="X53" s="4"/>
    </row>
    <row r="54">
      <c r="A54" s="33"/>
      <c r="B54" s="62"/>
      <c r="C54" s="62"/>
      <c r="D54" s="63"/>
      <c r="E54" s="64"/>
      <c r="F54" s="65"/>
      <c r="G54" s="4"/>
      <c r="H54" s="4"/>
      <c r="I54" s="4"/>
      <c r="J54" s="4"/>
      <c r="K54" s="4"/>
      <c r="L54" s="10" t="s">
        <v>87</v>
      </c>
      <c r="M54" s="66" t="str">
        <f>M51-M52-M53</f>
        <v>#REF!</v>
      </c>
      <c r="N54" s="4"/>
      <c r="O54" s="11"/>
      <c r="P54" s="11"/>
      <c r="Q54" s="14"/>
      <c r="R54" s="14"/>
      <c r="S54" s="15"/>
      <c r="T54" s="16"/>
      <c r="U54" s="17"/>
      <c r="V54" s="4"/>
      <c r="W54" s="4"/>
      <c r="X54" s="4"/>
    </row>
    <row r="55">
      <c r="A55" s="33"/>
      <c r="B55" s="62"/>
      <c r="C55" s="62"/>
      <c r="D55" s="63"/>
      <c r="E55" s="64"/>
      <c r="F55" s="65"/>
      <c r="G55" s="4"/>
      <c r="H55" s="4"/>
      <c r="I55" s="4"/>
      <c r="J55" s="4"/>
      <c r="K55" s="4"/>
      <c r="L55" s="4"/>
      <c r="M55" s="30"/>
      <c r="N55" s="4"/>
      <c r="O55" s="11"/>
      <c r="P55" s="11"/>
      <c r="Q55" s="14"/>
      <c r="R55" s="14"/>
      <c r="S55" s="15"/>
      <c r="T55" s="16"/>
      <c r="U55" s="17"/>
      <c r="V55" s="4"/>
      <c r="W55" s="4"/>
      <c r="X55" s="4"/>
    </row>
    <row r="56">
      <c r="A56" s="33"/>
      <c r="B56" s="67"/>
      <c r="C56" s="67"/>
      <c r="D56" s="68" t="s">
        <v>87</v>
      </c>
      <c r="E56" s="53"/>
      <c r="F56" s="69">
        <f>SUM(F36:F55)</f>
        <v>124.32</v>
      </c>
      <c r="G56" s="4"/>
      <c r="H56" s="4"/>
      <c r="I56" s="4"/>
      <c r="J56" s="4"/>
      <c r="K56" s="4"/>
      <c r="L56" s="4"/>
      <c r="M56" s="30"/>
      <c r="N56" s="4"/>
      <c r="O56" s="11"/>
      <c r="P56" s="11"/>
      <c r="Q56" s="14"/>
      <c r="R56" s="14"/>
      <c r="S56" s="15"/>
      <c r="T56" s="16"/>
      <c r="U56" s="17"/>
      <c r="V56" s="4"/>
      <c r="W56" s="4"/>
      <c r="X56" s="4"/>
    </row>
    <row r="57">
      <c r="A57" s="70"/>
      <c r="B57" s="28"/>
      <c r="C57" s="4"/>
      <c r="D57" s="4"/>
      <c r="E57" s="50"/>
      <c r="F57" s="4"/>
      <c r="G57" s="4"/>
      <c r="H57" s="4"/>
      <c r="I57" s="4"/>
      <c r="J57" s="4"/>
      <c r="K57" s="4"/>
      <c r="L57" s="30"/>
      <c r="M57" s="4"/>
      <c r="N57" s="4"/>
      <c r="O57" s="11"/>
      <c r="P57" s="11"/>
      <c r="Q57" s="14"/>
      <c r="R57" s="14"/>
      <c r="S57" s="15"/>
      <c r="T57" s="16"/>
      <c r="U57" s="17"/>
      <c r="V57" s="4"/>
      <c r="W57" s="4"/>
      <c r="X57" s="4"/>
    </row>
    <row r="58">
      <c r="A58" s="28"/>
      <c r="B58" s="4"/>
      <c r="C58" s="4"/>
      <c r="D58" s="4"/>
      <c r="E58" s="50"/>
      <c r="F58" s="4"/>
      <c r="G58" s="4"/>
      <c r="H58" s="4"/>
      <c r="I58" s="4"/>
      <c r="J58" s="4"/>
      <c r="K58" s="4"/>
      <c r="L58" s="4"/>
      <c r="M58" s="30"/>
      <c r="N58" s="4"/>
      <c r="O58" s="11"/>
      <c r="P58" s="11"/>
      <c r="Q58" s="14"/>
      <c r="R58" s="14"/>
      <c r="S58" s="15"/>
      <c r="T58" s="16"/>
      <c r="U58" s="17"/>
      <c r="V58" s="4"/>
      <c r="W58" s="4"/>
      <c r="X58" s="4"/>
    </row>
    <row r="59">
      <c r="A59" s="70"/>
      <c r="B59" s="28"/>
      <c r="C59" s="4"/>
      <c r="D59" s="4"/>
      <c r="E59" s="50"/>
      <c r="F59" s="4"/>
      <c r="G59" s="4"/>
      <c r="H59" s="4"/>
      <c r="I59" s="4"/>
      <c r="J59" s="4"/>
      <c r="K59" s="4"/>
      <c r="L59" s="4"/>
      <c r="M59" s="30"/>
      <c r="N59" s="4"/>
      <c r="O59" s="11"/>
      <c r="P59" s="11"/>
      <c r="Q59" s="14"/>
      <c r="R59" s="14"/>
      <c r="S59" s="15"/>
      <c r="T59" s="16"/>
      <c r="U59" s="17"/>
      <c r="V59" s="4"/>
      <c r="W59" s="4"/>
      <c r="X59" s="4"/>
    </row>
    <row r="60">
      <c r="A60" s="71"/>
      <c r="B60" s="71"/>
      <c r="E60" s="72"/>
      <c r="L60" s="41"/>
      <c r="M60" s="73"/>
      <c r="N60" s="4"/>
      <c r="O60" s="11"/>
      <c r="P60" s="11"/>
      <c r="Q60" s="14"/>
      <c r="R60" s="14"/>
      <c r="S60" s="15"/>
      <c r="T60" s="16"/>
      <c r="U60" s="17"/>
      <c r="V60" s="4"/>
      <c r="W60" s="4"/>
    </row>
    <row r="61">
      <c r="A61" s="71"/>
      <c r="B61" s="71"/>
      <c r="E61" s="72"/>
      <c r="L61" s="41"/>
      <c r="M61" s="73"/>
      <c r="N61" s="4"/>
      <c r="O61" s="11"/>
      <c r="P61" s="11"/>
      <c r="Q61" s="14"/>
      <c r="R61" s="14"/>
      <c r="S61" s="15"/>
      <c r="T61" s="16"/>
      <c r="U61" s="17"/>
      <c r="V61" s="4"/>
      <c r="W61" s="4"/>
    </row>
    <row r="62">
      <c r="A62" s="71"/>
      <c r="B62" s="71"/>
      <c r="E62" s="72"/>
      <c r="L62" s="41"/>
      <c r="M62" s="73"/>
      <c r="N62" s="4"/>
      <c r="O62" s="11"/>
      <c r="P62" s="11"/>
      <c r="Q62" s="14"/>
      <c r="R62" s="14"/>
      <c r="S62" s="15"/>
      <c r="T62" s="16"/>
      <c r="U62" s="17"/>
      <c r="V62" s="4"/>
      <c r="W62" s="4"/>
    </row>
    <row r="63">
      <c r="A63" s="71"/>
      <c r="B63" s="71"/>
      <c r="E63" s="72"/>
      <c r="M63" s="74"/>
      <c r="N63" s="4"/>
      <c r="O63" s="11"/>
      <c r="P63" s="11"/>
      <c r="Q63" s="14"/>
      <c r="R63" s="14"/>
      <c r="S63" s="15"/>
      <c r="T63" s="16"/>
      <c r="U63" s="17"/>
      <c r="V63" s="4"/>
      <c r="W63" s="4"/>
    </row>
    <row r="64">
      <c r="A64" s="71"/>
      <c r="B64" s="71"/>
      <c r="E64" s="72"/>
      <c r="M64" s="74"/>
      <c r="N64" s="4"/>
      <c r="O64" s="11"/>
      <c r="P64" s="11"/>
      <c r="Q64" s="14"/>
      <c r="R64" s="14"/>
      <c r="S64" s="15"/>
      <c r="T64" s="16"/>
      <c r="U64" s="17"/>
      <c r="V64" s="4"/>
      <c r="W64" s="4"/>
    </row>
    <row r="65">
      <c r="A65" s="71"/>
      <c r="B65" s="71"/>
      <c r="E65" s="72"/>
      <c r="M65" s="74"/>
      <c r="N65" s="4"/>
      <c r="O65" s="11"/>
      <c r="P65" s="11"/>
      <c r="Q65" s="14"/>
      <c r="R65" s="14"/>
      <c r="S65" s="15"/>
      <c r="T65" s="16"/>
      <c r="U65" s="17"/>
      <c r="V65" s="4"/>
      <c r="W65" s="4"/>
    </row>
    <row r="66">
      <c r="A66" s="71"/>
      <c r="B66" s="71"/>
      <c r="E66" s="72"/>
      <c r="M66" s="74"/>
      <c r="N66" s="4"/>
      <c r="O66" s="11"/>
      <c r="P66" s="11"/>
      <c r="Q66" s="14"/>
      <c r="R66" s="14"/>
      <c r="S66" s="15"/>
      <c r="T66" s="16"/>
      <c r="U66" s="17"/>
      <c r="V66" s="4"/>
      <c r="W66" s="4"/>
    </row>
    <row r="67">
      <c r="A67" s="71"/>
      <c r="B67" s="71"/>
      <c r="E67" s="72"/>
      <c r="M67" s="74"/>
      <c r="N67" s="4"/>
      <c r="O67" s="11"/>
      <c r="P67" s="11"/>
      <c r="Q67" s="14"/>
      <c r="R67" s="14"/>
      <c r="S67" s="15"/>
      <c r="T67" s="16"/>
      <c r="U67" s="17"/>
      <c r="V67" s="4"/>
      <c r="W67" s="4"/>
    </row>
    <row r="68">
      <c r="A68" s="75"/>
      <c r="B68" s="75"/>
      <c r="E68" s="72"/>
      <c r="M68" s="74"/>
      <c r="N68" s="4"/>
      <c r="O68" s="11"/>
      <c r="P68" s="11"/>
      <c r="Q68" s="14"/>
      <c r="R68" s="14"/>
      <c r="S68" s="15"/>
      <c r="T68" s="16"/>
      <c r="U68" s="17"/>
      <c r="V68" s="4"/>
      <c r="W68" s="4"/>
    </row>
    <row r="69">
      <c r="A69" s="75"/>
      <c r="B69" s="75"/>
      <c r="E69" s="72"/>
      <c r="M69" s="74"/>
      <c r="N69" s="4"/>
      <c r="O69" s="27"/>
      <c r="P69" s="27"/>
      <c r="Q69" s="26"/>
      <c r="R69" s="26"/>
      <c r="S69" s="76"/>
      <c r="T69" s="77"/>
      <c r="U69" s="17"/>
      <c r="V69" s="4"/>
      <c r="W69" s="4"/>
    </row>
    <row r="70">
      <c r="A70" s="75"/>
      <c r="B70" s="75"/>
      <c r="E70" s="72"/>
      <c r="M70" s="74"/>
      <c r="N70" s="4"/>
      <c r="O70" s="27"/>
      <c r="P70" s="27"/>
      <c r="Q70" s="26"/>
      <c r="R70" s="26"/>
      <c r="S70" s="76"/>
      <c r="T70" s="77"/>
      <c r="U70" s="17"/>
      <c r="V70" s="4"/>
      <c r="W70" s="4"/>
    </row>
    <row r="71">
      <c r="A71" s="75"/>
      <c r="B71" s="75"/>
      <c r="E71" s="72"/>
      <c r="M71" s="74"/>
      <c r="N71" s="4"/>
      <c r="O71" s="27"/>
      <c r="P71" s="27"/>
      <c r="Q71" s="26"/>
      <c r="R71" s="26"/>
      <c r="S71" s="76"/>
      <c r="T71" s="77"/>
      <c r="U71" s="17"/>
      <c r="V71" s="4"/>
      <c r="W71" s="4"/>
    </row>
    <row r="72">
      <c r="A72" s="75"/>
      <c r="B72" s="75"/>
      <c r="E72" s="72"/>
      <c r="M72" s="74"/>
      <c r="N72" s="4"/>
      <c r="O72" s="27"/>
      <c r="P72" s="27"/>
      <c r="Q72" s="26"/>
      <c r="R72" s="26"/>
      <c r="S72" s="76"/>
      <c r="T72" s="77"/>
      <c r="U72" s="17"/>
      <c r="V72" s="4"/>
      <c r="W72" s="4"/>
    </row>
    <row r="73">
      <c r="A73" s="75"/>
      <c r="B73" s="75"/>
      <c r="E73" s="72"/>
      <c r="M73" s="74"/>
      <c r="N73" s="4"/>
      <c r="O73" s="27"/>
      <c r="P73" s="27"/>
      <c r="Q73" s="26"/>
      <c r="R73" s="26"/>
      <c r="S73" s="76"/>
      <c r="T73" s="77"/>
      <c r="U73" s="17"/>
      <c r="V73" s="4"/>
      <c r="W73" s="4"/>
    </row>
    <row r="74">
      <c r="A74" s="75"/>
      <c r="B74" s="75"/>
      <c r="E74" s="72"/>
      <c r="M74" s="74"/>
      <c r="N74" s="4"/>
      <c r="O74" s="27"/>
      <c r="P74" s="27"/>
      <c r="Q74" s="26"/>
      <c r="R74" s="26"/>
      <c r="S74" s="76"/>
      <c r="T74" s="77"/>
      <c r="U74" s="17"/>
      <c r="V74" s="4"/>
      <c r="W74" s="4"/>
    </row>
    <row r="75">
      <c r="A75" s="75"/>
      <c r="B75" s="75"/>
      <c r="E75" s="72"/>
      <c r="M75" s="74"/>
      <c r="N75" s="4"/>
      <c r="O75" s="27"/>
      <c r="P75" s="27"/>
      <c r="Q75" s="26"/>
      <c r="R75" s="26"/>
      <c r="S75" s="76"/>
      <c r="T75" s="77"/>
      <c r="U75" s="17"/>
      <c r="V75" s="4"/>
      <c r="W75" s="4"/>
    </row>
    <row r="76">
      <c r="A76" s="75"/>
      <c r="B76" s="75"/>
      <c r="E76" s="72"/>
      <c r="M76" s="74"/>
      <c r="N76" s="4"/>
      <c r="O76" s="27"/>
      <c r="P76" s="27"/>
      <c r="Q76" s="26"/>
      <c r="R76" s="26"/>
      <c r="S76" s="76"/>
      <c r="T76" s="77"/>
      <c r="U76" s="17"/>
      <c r="V76" s="4"/>
      <c r="W76" s="4"/>
    </row>
    <row r="77">
      <c r="A77" s="75"/>
      <c r="B77" s="75"/>
      <c r="E77" s="72"/>
      <c r="M77" s="74"/>
      <c r="N77" s="4"/>
      <c r="O77" s="27"/>
      <c r="P77" s="27"/>
      <c r="Q77" s="26"/>
      <c r="R77" s="26"/>
      <c r="S77" s="76"/>
      <c r="T77" s="77"/>
      <c r="U77" s="17"/>
      <c r="V77" s="4"/>
      <c r="W77" s="4"/>
    </row>
    <row r="78">
      <c r="A78" s="75"/>
      <c r="B78" s="75"/>
      <c r="E78" s="72"/>
      <c r="M78" s="74"/>
      <c r="N78" s="4"/>
      <c r="O78" s="27"/>
      <c r="P78" s="27"/>
      <c r="Q78" s="26"/>
      <c r="R78" s="26"/>
      <c r="S78" s="76"/>
      <c r="T78" s="77"/>
      <c r="U78" s="17"/>
      <c r="V78" s="4"/>
      <c r="W78" s="4"/>
    </row>
    <row r="79">
      <c r="A79" s="75"/>
      <c r="B79" s="75"/>
      <c r="E79" s="72"/>
      <c r="M79" s="74"/>
      <c r="N79" s="4"/>
      <c r="O79" s="27"/>
      <c r="P79" s="27"/>
      <c r="Q79" s="26"/>
      <c r="R79" s="26"/>
      <c r="S79" s="76"/>
      <c r="T79" s="77"/>
      <c r="U79" s="17"/>
      <c r="V79" s="4"/>
      <c r="W79" s="4"/>
    </row>
    <row r="80">
      <c r="A80" s="75"/>
      <c r="B80" s="75"/>
      <c r="E80" s="72"/>
      <c r="M80" s="74"/>
      <c r="N80" s="4"/>
      <c r="O80" s="27"/>
      <c r="P80" s="27"/>
      <c r="Q80" s="26"/>
      <c r="R80" s="26"/>
      <c r="S80" s="76"/>
      <c r="T80" s="77"/>
      <c r="U80" s="17"/>
      <c r="V80" s="4"/>
      <c r="W80" s="4"/>
    </row>
    <row r="81">
      <c r="A81" s="75"/>
      <c r="B81" s="75"/>
      <c r="E81" s="72"/>
      <c r="M81" s="74"/>
      <c r="N81" s="4"/>
      <c r="O81" s="27"/>
      <c r="P81" s="27"/>
      <c r="Q81" s="26"/>
      <c r="R81" s="26"/>
      <c r="S81" s="76"/>
      <c r="T81" s="77"/>
      <c r="U81" s="17"/>
      <c r="V81" s="4"/>
      <c r="W81" s="4"/>
    </row>
    <row r="82">
      <c r="A82" s="75"/>
      <c r="B82" s="75"/>
      <c r="E82" s="72"/>
      <c r="M82" s="74"/>
      <c r="N82" s="4"/>
      <c r="O82" s="27"/>
      <c r="P82" s="27"/>
      <c r="Q82" s="26"/>
      <c r="R82" s="26"/>
      <c r="S82" s="76"/>
      <c r="T82" s="77"/>
      <c r="U82" s="17"/>
      <c r="V82" s="4"/>
      <c r="W82" s="4"/>
    </row>
    <row r="83">
      <c r="A83" s="75"/>
      <c r="B83" s="75"/>
      <c r="E83" s="72"/>
      <c r="M83" s="74"/>
      <c r="N83" s="4"/>
      <c r="O83" s="27"/>
      <c r="P83" s="27"/>
      <c r="Q83" s="26"/>
      <c r="R83" s="26"/>
      <c r="S83" s="76"/>
      <c r="T83" s="77"/>
      <c r="U83" s="17"/>
      <c r="V83" s="4"/>
      <c r="W83" s="4"/>
    </row>
    <row r="84">
      <c r="A84" s="75"/>
      <c r="B84" s="75"/>
      <c r="E84" s="72"/>
      <c r="M84" s="74"/>
      <c r="N84" s="4"/>
      <c r="O84" s="11"/>
      <c r="P84" s="11"/>
      <c r="Q84" s="14"/>
      <c r="R84" s="14"/>
      <c r="S84" s="15"/>
      <c r="T84" s="16"/>
      <c r="U84" s="17"/>
      <c r="V84" s="4"/>
      <c r="W84" s="4"/>
    </row>
    <row r="85">
      <c r="A85" s="75"/>
      <c r="B85" s="75"/>
      <c r="E85" s="72"/>
      <c r="M85" s="74"/>
      <c r="N85" s="4"/>
      <c r="O85" s="11"/>
      <c r="P85" s="11"/>
      <c r="Q85" s="14"/>
      <c r="R85" s="14"/>
      <c r="S85" s="15"/>
      <c r="T85" s="16"/>
      <c r="U85" s="17"/>
      <c r="V85" s="4"/>
      <c r="W85" s="4"/>
    </row>
    <row r="86">
      <c r="A86" s="75"/>
      <c r="B86" s="75"/>
      <c r="E86" s="72"/>
      <c r="M86" s="74"/>
      <c r="N86" s="4"/>
      <c r="O86" s="4"/>
      <c r="P86" s="4"/>
      <c r="Q86" s="58"/>
      <c r="R86" s="58"/>
      <c r="S86" s="67"/>
      <c r="T86" s="58"/>
      <c r="U86" s="78"/>
      <c r="V86" s="4"/>
      <c r="W86" s="4"/>
    </row>
    <row r="87">
      <c r="A87" s="75"/>
      <c r="B87" s="75"/>
      <c r="E87" s="72"/>
      <c r="M87" s="74"/>
      <c r="N87" s="4"/>
      <c r="O87" s="4"/>
      <c r="P87" s="4"/>
      <c r="Q87" s="58"/>
      <c r="R87" s="58"/>
      <c r="S87" s="67"/>
      <c r="T87" s="58"/>
      <c r="U87" s="78"/>
      <c r="V87" s="4"/>
      <c r="W87" s="4"/>
    </row>
    <row r="88">
      <c r="A88" s="75"/>
      <c r="B88" s="75"/>
      <c r="E88" s="72"/>
      <c r="M88" s="74"/>
      <c r="N88" s="4"/>
      <c r="O88" s="4"/>
      <c r="P88" s="4"/>
      <c r="Q88" s="58"/>
      <c r="R88" s="58"/>
      <c r="S88" s="67"/>
      <c r="T88" s="58"/>
      <c r="U88" s="78"/>
      <c r="V88" s="4"/>
      <c r="W88" s="4"/>
    </row>
    <row r="89">
      <c r="A89" s="75"/>
      <c r="B89" s="75"/>
      <c r="E89" s="72"/>
      <c r="M89" s="74"/>
      <c r="N89" s="4"/>
      <c r="O89" s="4"/>
      <c r="P89" s="4"/>
      <c r="Q89" s="58"/>
      <c r="R89" s="58"/>
      <c r="S89" s="67"/>
      <c r="T89" s="58"/>
      <c r="U89" s="78"/>
      <c r="V89" s="4"/>
      <c r="W89" s="4"/>
    </row>
    <row r="90">
      <c r="A90" s="75"/>
      <c r="B90" s="75"/>
      <c r="E90" s="72"/>
      <c r="M90" s="74"/>
      <c r="N90" s="4"/>
      <c r="O90" s="4"/>
      <c r="P90" s="4"/>
      <c r="Q90" s="58"/>
      <c r="R90" s="58"/>
      <c r="S90" s="67"/>
      <c r="T90" s="58"/>
      <c r="U90" s="78"/>
      <c r="V90" s="4"/>
      <c r="W90" s="4"/>
    </row>
    <row r="91">
      <c r="A91" s="75"/>
      <c r="B91" s="75"/>
      <c r="E91" s="72"/>
      <c r="M91" s="74"/>
      <c r="N91" s="4"/>
      <c r="O91" s="4"/>
      <c r="P91" s="4"/>
      <c r="Q91" s="58"/>
      <c r="R91" s="58"/>
      <c r="S91" s="67"/>
      <c r="T91" s="58"/>
      <c r="U91" s="78"/>
      <c r="V91" s="4"/>
      <c r="W91" s="4"/>
    </row>
    <row r="92">
      <c r="A92" s="75"/>
      <c r="B92" s="75"/>
      <c r="E92" s="72"/>
      <c r="M92" s="74"/>
      <c r="N92" s="4"/>
      <c r="O92" s="4"/>
      <c r="P92" s="4"/>
      <c r="Q92" s="58"/>
      <c r="R92" s="58"/>
      <c r="S92" s="67"/>
      <c r="T92" s="58"/>
      <c r="U92" s="78"/>
      <c r="V92" s="4"/>
      <c r="W92" s="4"/>
    </row>
    <row r="93">
      <c r="A93" s="75"/>
      <c r="B93" s="75"/>
      <c r="E93" s="72"/>
      <c r="M93" s="74"/>
      <c r="N93" s="4"/>
      <c r="O93" s="4"/>
      <c r="P93" s="4"/>
      <c r="Q93" s="58"/>
      <c r="R93" s="58"/>
      <c r="S93" s="67"/>
      <c r="T93" s="58"/>
      <c r="U93" s="78"/>
      <c r="V93" s="4"/>
      <c r="W93" s="4"/>
    </row>
    <row r="94">
      <c r="A94" s="75"/>
      <c r="B94" s="75"/>
      <c r="E94" s="72"/>
      <c r="M94" s="74"/>
      <c r="N94" s="4"/>
      <c r="O94" s="4"/>
      <c r="P94" s="4"/>
      <c r="Q94" s="58"/>
      <c r="R94" s="58"/>
      <c r="S94" s="67"/>
      <c r="T94" s="58"/>
      <c r="U94" s="78"/>
      <c r="V94" s="4"/>
      <c r="W94" s="4"/>
    </row>
    <row r="95">
      <c r="A95" s="75"/>
      <c r="B95" s="75"/>
      <c r="E95" s="72"/>
      <c r="M95" s="74"/>
      <c r="N95" s="4"/>
      <c r="O95" s="4"/>
      <c r="P95" s="4"/>
      <c r="Q95" s="58"/>
      <c r="R95" s="58"/>
      <c r="S95" s="67"/>
      <c r="T95" s="58"/>
      <c r="U95" s="78"/>
      <c r="V95" s="4"/>
      <c r="W95" s="4"/>
    </row>
    <row r="96">
      <c r="A96" s="75"/>
      <c r="B96" s="75"/>
      <c r="E96" s="72"/>
      <c r="M96" s="74"/>
      <c r="N96" s="4"/>
      <c r="O96" s="4"/>
      <c r="P96" s="4"/>
      <c r="Q96" s="58"/>
      <c r="R96" s="58"/>
      <c r="S96" s="67"/>
      <c r="T96" s="58"/>
      <c r="U96" s="78"/>
      <c r="V96" s="4"/>
      <c r="W96" s="4"/>
    </row>
    <row r="97">
      <c r="A97" s="75"/>
      <c r="B97" s="75"/>
      <c r="E97" s="72"/>
      <c r="M97" s="74"/>
      <c r="N97" s="4"/>
      <c r="O97" s="4"/>
      <c r="P97" s="4"/>
      <c r="Q97" s="58"/>
      <c r="R97" s="58"/>
      <c r="S97" s="67"/>
      <c r="T97" s="58"/>
      <c r="U97" s="78"/>
      <c r="V97" s="4"/>
      <c r="W97" s="4"/>
    </row>
    <row r="98">
      <c r="A98" s="75"/>
      <c r="B98" s="75"/>
      <c r="E98" s="72"/>
      <c r="M98" s="74"/>
      <c r="N98" s="4"/>
      <c r="O98" s="4"/>
      <c r="P98" s="4"/>
      <c r="Q98" s="58"/>
      <c r="R98" s="58"/>
      <c r="S98" s="67"/>
      <c r="T98" s="58"/>
      <c r="U98" s="78"/>
      <c r="V98" s="4"/>
      <c r="W98" s="4"/>
    </row>
    <row r="99">
      <c r="A99" s="75"/>
      <c r="B99" s="75"/>
      <c r="E99" s="72"/>
      <c r="M99" s="74"/>
      <c r="N99" s="4"/>
      <c r="O99" s="4"/>
      <c r="P99" s="4"/>
      <c r="Q99" s="58"/>
      <c r="R99" s="58"/>
      <c r="S99" s="67"/>
      <c r="T99" s="58"/>
      <c r="U99" s="78"/>
      <c r="V99" s="4"/>
      <c r="W99" s="4"/>
    </row>
    <row r="100">
      <c r="A100" s="75"/>
      <c r="B100" s="75"/>
      <c r="E100" s="72"/>
      <c r="M100" s="74"/>
      <c r="N100" s="4"/>
      <c r="O100" s="4"/>
      <c r="P100" s="4"/>
      <c r="Q100" s="58"/>
      <c r="R100" s="58"/>
      <c r="S100" s="67"/>
      <c r="T100" s="58"/>
      <c r="U100" s="78"/>
      <c r="V100" s="4"/>
      <c r="W100" s="4"/>
    </row>
    <row r="101">
      <c r="A101" s="75"/>
      <c r="B101" s="75"/>
      <c r="E101" s="72"/>
      <c r="M101" s="74"/>
      <c r="N101" s="4"/>
      <c r="O101" s="4"/>
      <c r="P101" s="4"/>
      <c r="Q101" s="58"/>
      <c r="R101" s="58"/>
      <c r="S101" s="67"/>
      <c r="T101" s="58"/>
      <c r="U101" s="78"/>
      <c r="V101" s="4"/>
      <c r="W101" s="4"/>
    </row>
    <row r="102">
      <c r="A102" s="75"/>
      <c r="B102" s="75"/>
      <c r="E102" s="72"/>
      <c r="M102" s="74"/>
      <c r="N102" s="4"/>
      <c r="O102" s="4"/>
      <c r="P102" s="4"/>
      <c r="Q102" s="58"/>
      <c r="R102" s="58"/>
      <c r="S102" s="67"/>
      <c r="T102" s="58"/>
      <c r="U102" s="78"/>
      <c r="V102" s="4"/>
      <c r="W102" s="4"/>
    </row>
    <row r="103">
      <c r="A103" s="75"/>
      <c r="B103" s="75"/>
      <c r="E103" s="72"/>
      <c r="M103" s="74"/>
      <c r="N103" s="4"/>
      <c r="O103" s="4"/>
      <c r="P103" s="4"/>
      <c r="Q103" s="58"/>
      <c r="R103" s="58"/>
      <c r="S103" s="67"/>
      <c r="T103" s="58"/>
      <c r="U103" s="78"/>
      <c r="V103" s="4"/>
      <c r="W103" s="4"/>
    </row>
    <row r="104">
      <c r="A104" s="75"/>
      <c r="B104" s="75"/>
      <c r="E104" s="72"/>
      <c r="M104" s="74"/>
      <c r="N104" s="4"/>
      <c r="O104" s="4"/>
      <c r="P104" s="4"/>
      <c r="Q104" s="58"/>
      <c r="R104" s="58"/>
      <c r="S104" s="67"/>
      <c r="T104" s="58"/>
      <c r="U104" s="78"/>
      <c r="V104" s="4"/>
      <c r="W104" s="4"/>
    </row>
    <row r="105">
      <c r="A105" s="75"/>
      <c r="B105" s="75"/>
      <c r="E105" s="72"/>
      <c r="M105" s="74"/>
      <c r="N105" s="4"/>
      <c r="O105" s="4"/>
      <c r="P105" s="4"/>
      <c r="Q105" s="58"/>
      <c r="R105" s="58"/>
      <c r="S105" s="67"/>
      <c r="T105" s="58"/>
      <c r="U105" s="78"/>
      <c r="V105" s="4"/>
      <c r="W105" s="4"/>
    </row>
    <row r="106">
      <c r="A106" s="75"/>
      <c r="B106" s="75"/>
      <c r="E106" s="72"/>
      <c r="M106" s="74"/>
      <c r="N106" s="4"/>
      <c r="O106" s="4"/>
      <c r="P106" s="4"/>
      <c r="Q106" s="58"/>
      <c r="R106" s="58"/>
      <c r="S106" s="67"/>
      <c r="T106" s="58"/>
      <c r="U106" s="78"/>
      <c r="V106" s="4"/>
      <c r="W106" s="4"/>
    </row>
    <row r="107">
      <c r="A107" s="75"/>
      <c r="B107" s="75"/>
      <c r="E107" s="72"/>
      <c r="M107" s="74"/>
      <c r="N107" s="4"/>
      <c r="O107" s="4"/>
      <c r="P107" s="4"/>
      <c r="Q107" s="58"/>
      <c r="R107" s="58"/>
      <c r="S107" s="67"/>
      <c r="T107" s="58"/>
      <c r="U107" s="78"/>
      <c r="V107" s="4"/>
      <c r="W107" s="4"/>
    </row>
    <row r="108">
      <c r="A108" s="75"/>
      <c r="B108" s="75"/>
      <c r="E108" s="72"/>
      <c r="M108" s="74"/>
      <c r="N108" s="4"/>
      <c r="O108" s="4"/>
      <c r="P108" s="4"/>
      <c r="Q108" s="58"/>
      <c r="R108" s="58"/>
      <c r="S108" s="67"/>
      <c r="T108" s="58"/>
      <c r="U108" s="78"/>
      <c r="V108" s="4"/>
      <c r="W108" s="4"/>
    </row>
    <row r="109">
      <c r="A109" s="75"/>
      <c r="B109" s="75"/>
      <c r="E109" s="72"/>
      <c r="M109" s="74"/>
      <c r="N109" s="4"/>
      <c r="O109" s="4"/>
      <c r="P109" s="4"/>
      <c r="Q109" s="58"/>
      <c r="R109" s="58"/>
      <c r="S109" s="67"/>
      <c r="T109" s="58"/>
      <c r="U109" s="78"/>
      <c r="V109" s="4"/>
      <c r="W109" s="4"/>
    </row>
    <row r="110">
      <c r="A110" s="75"/>
      <c r="B110" s="75"/>
      <c r="E110" s="72"/>
      <c r="M110" s="74"/>
      <c r="N110" s="4"/>
      <c r="O110" s="4"/>
      <c r="P110" s="4"/>
      <c r="Q110" s="58"/>
      <c r="R110" s="58"/>
      <c r="S110" s="67"/>
      <c r="T110" s="58"/>
      <c r="U110" s="78"/>
      <c r="V110" s="4"/>
      <c r="W110" s="4"/>
    </row>
    <row r="111">
      <c r="A111" s="75"/>
      <c r="B111" s="75"/>
      <c r="E111" s="72"/>
      <c r="M111" s="74"/>
      <c r="N111" s="4"/>
      <c r="O111" s="4"/>
      <c r="P111" s="4"/>
      <c r="Q111" s="58"/>
      <c r="R111" s="58"/>
      <c r="S111" s="67"/>
      <c r="T111" s="58"/>
      <c r="U111" s="78"/>
      <c r="V111" s="4"/>
      <c r="W111" s="4"/>
    </row>
    <row r="112">
      <c r="A112" s="75"/>
      <c r="B112" s="75"/>
      <c r="E112" s="72"/>
      <c r="M112" s="74"/>
      <c r="N112" s="4"/>
      <c r="O112" s="4"/>
      <c r="P112" s="4"/>
      <c r="Q112" s="58"/>
      <c r="R112" s="58"/>
      <c r="S112" s="67"/>
      <c r="T112" s="58"/>
      <c r="U112" s="78"/>
      <c r="V112" s="4"/>
      <c r="W112" s="4"/>
    </row>
    <row r="113">
      <c r="A113" s="75"/>
      <c r="B113" s="75"/>
      <c r="E113" s="72"/>
      <c r="M113" s="74"/>
      <c r="N113" s="4"/>
      <c r="O113" s="4"/>
      <c r="P113" s="4"/>
      <c r="Q113" s="58"/>
      <c r="R113" s="58"/>
      <c r="S113" s="67"/>
      <c r="T113" s="58"/>
      <c r="U113" s="78"/>
      <c r="V113" s="4"/>
      <c r="W113" s="4"/>
    </row>
    <row r="114">
      <c r="A114" s="75"/>
      <c r="B114" s="75"/>
      <c r="E114" s="72"/>
      <c r="M114" s="74"/>
      <c r="N114" s="4"/>
      <c r="O114" s="4"/>
      <c r="P114" s="4"/>
      <c r="Q114" s="58"/>
      <c r="R114" s="58"/>
      <c r="S114" s="67"/>
      <c r="T114" s="58"/>
      <c r="U114" s="78"/>
      <c r="V114" s="4"/>
      <c r="W114" s="4"/>
    </row>
    <row r="115">
      <c r="A115" s="75"/>
      <c r="B115" s="75"/>
      <c r="E115" s="72"/>
      <c r="M115" s="74"/>
      <c r="N115" s="4"/>
      <c r="O115" s="4"/>
      <c r="P115" s="4"/>
      <c r="Q115" s="58"/>
      <c r="R115" s="58"/>
      <c r="S115" s="67"/>
      <c r="T115" s="58"/>
      <c r="U115" s="78"/>
      <c r="V115" s="4"/>
      <c r="W115" s="4"/>
    </row>
    <row r="116">
      <c r="A116" s="75"/>
      <c r="B116" s="75"/>
      <c r="E116" s="72"/>
      <c r="M116" s="74"/>
      <c r="N116" s="4"/>
      <c r="O116" s="4"/>
      <c r="P116" s="4"/>
      <c r="Q116" s="58"/>
      <c r="R116" s="58"/>
      <c r="S116" s="67"/>
      <c r="T116" s="58"/>
      <c r="U116" s="78"/>
      <c r="V116" s="4"/>
      <c r="W116" s="4"/>
    </row>
    <row r="117">
      <c r="A117" s="75"/>
      <c r="B117" s="75"/>
      <c r="E117" s="72"/>
      <c r="M117" s="74"/>
      <c r="N117" s="4"/>
      <c r="O117" s="4"/>
      <c r="P117" s="4"/>
      <c r="Q117" s="58"/>
      <c r="R117" s="58"/>
      <c r="S117" s="67"/>
      <c r="T117" s="58"/>
      <c r="U117" s="78"/>
      <c r="V117" s="4"/>
      <c r="W117" s="4"/>
    </row>
    <row r="118">
      <c r="A118" s="75"/>
      <c r="B118" s="75"/>
      <c r="E118" s="72"/>
      <c r="M118" s="74"/>
      <c r="N118" s="4"/>
      <c r="O118" s="4"/>
      <c r="P118" s="4"/>
      <c r="Q118" s="58"/>
      <c r="R118" s="58"/>
      <c r="S118" s="67"/>
      <c r="T118" s="58"/>
      <c r="U118" s="78"/>
      <c r="V118" s="4"/>
      <c r="W118" s="4"/>
    </row>
    <row r="119">
      <c r="A119" s="75"/>
      <c r="B119" s="75"/>
      <c r="E119" s="72"/>
      <c r="M119" s="74"/>
      <c r="N119" s="4"/>
      <c r="O119" s="4"/>
      <c r="P119" s="4"/>
      <c r="Q119" s="58"/>
      <c r="R119" s="58"/>
      <c r="S119" s="67"/>
      <c r="T119" s="58"/>
      <c r="U119" s="78"/>
      <c r="V119" s="4"/>
      <c r="W119" s="4"/>
    </row>
    <row r="120">
      <c r="A120" s="75"/>
      <c r="B120" s="75"/>
      <c r="E120" s="72"/>
      <c r="M120" s="74"/>
      <c r="N120" s="4"/>
      <c r="O120" s="4"/>
      <c r="P120" s="4"/>
      <c r="Q120" s="58"/>
      <c r="R120" s="58"/>
      <c r="S120" s="67"/>
      <c r="T120" s="58"/>
      <c r="U120" s="78"/>
      <c r="V120" s="4"/>
      <c r="W120" s="4"/>
    </row>
    <row r="121">
      <c r="A121" s="75"/>
      <c r="B121" s="75"/>
      <c r="E121" s="72"/>
      <c r="M121" s="74"/>
      <c r="N121" s="4"/>
      <c r="O121" s="4"/>
      <c r="P121" s="4"/>
      <c r="Q121" s="58"/>
      <c r="R121" s="58"/>
      <c r="S121" s="67"/>
      <c r="T121" s="58"/>
      <c r="U121" s="78"/>
      <c r="V121" s="4"/>
      <c r="W121" s="4"/>
    </row>
    <row r="122">
      <c r="A122" s="75"/>
      <c r="B122" s="75"/>
      <c r="E122" s="72"/>
      <c r="M122" s="74"/>
      <c r="N122" s="4"/>
      <c r="O122" s="4"/>
      <c r="P122" s="4"/>
      <c r="Q122" s="58"/>
      <c r="R122" s="58"/>
      <c r="S122" s="67"/>
      <c r="T122" s="58"/>
      <c r="U122" s="78"/>
      <c r="V122" s="4"/>
      <c r="W122" s="4"/>
    </row>
    <row r="123">
      <c r="A123" s="75"/>
      <c r="B123" s="75"/>
      <c r="E123" s="72"/>
      <c r="M123" s="74"/>
      <c r="N123" s="4"/>
      <c r="O123" s="4"/>
      <c r="P123" s="4"/>
      <c r="Q123" s="58"/>
      <c r="R123" s="58"/>
      <c r="S123" s="67"/>
      <c r="T123" s="58"/>
      <c r="U123" s="78"/>
      <c r="V123" s="4"/>
      <c r="W123" s="4"/>
    </row>
    <row r="124">
      <c r="A124" s="75"/>
      <c r="B124" s="75"/>
      <c r="E124" s="72"/>
      <c r="M124" s="74"/>
      <c r="N124" s="4"/>
      <c r="O124" s="4"/>
      <c r="P124" s="4"/>
      <c r="Q124" s="58"/>
      <c r="R124" s="58"/>
      <c r="S124" s="67"/>
      <c r="T124" s="58"/>
      <c r="U124" s="78"/>
      <c r="V124" s="4"/>
      <c r="W124" s="4"/>
    </row>
    <row r="125">
      <c r="A125" s="75"/>
      <c r="B125" s="75"/>
      <c r="E125" s="72"/>
      <c r="M125" s="74"/>
      <c r="N125" s="4"/>
      <c r="O125" s="4"/>
      <c r="P125" s="4"/>
      <c r="Q125" s="58"/>
      <c r="R125" s="58"/>
      <c r="S125" s="67"/>
      <c r="T125" s="58"/>
      <c r="U125" s="78"/>
      <c r="V125" s="4"/>
      <c r="W125" s="4"/>
    </row>
    <row r="126">
      <c r="A126" s="75"/>
      <c r="B126" s="75"/>
      <c r="E126" s="72"/>
      <c r="M126" s="74"/>
      <c r="N126" s="4"/>
      <c r="O126" s="4"/>
      <c r="P126" s="4"/>
      <c r="Q126" s="58"/>
      <c r="R126" s="58"/>
      <c r="S126" s="67"/>
      <c r="T126" s="58"/>
      <c r="U126" s="78"/>
      <c r="V126" s="4"/>
      <c r="W126" s="4"/>
    </row>
    <row r="127">
      <c r="A127" s="75"/>
      <c r="B127" s="75"/>
      <c r="E127" s="72"/>
      <c r="M127" s="74"/>
      <c r="N127" s="4"/>
      <c r="O127" s="4"/>
      <c r="P127" s="4"/>
      <c r="Q127" s="58"/>
      <c r="R127" s="58"/>
      <c r="S127" s="67"/>
      <c r="T127" s="58"/>
      <c r="U127" s="78"/>
      <c r="V127" s="4"/>
      <c r="W127" s="4"/>
    </row>
    <row r="128">
      <c r="A128" s="75"/>
      <c r="B128" s="75"/>
      <c r="E128" s="72"/>
      <c r="M128" s="74"/>
      <c r="N128" s="4"/>
      <c r="O128" s="4"/>
      <c r="P128" s="4"/>
      <c r="Q128" s="58"/>
      <c r="R128" s="58"/>
      <c r="S128" s="67"/>
      <c r="V128" s="4"/>
      <c r="W128" s="4"/>
    </row>
    <row r="129">
      <c r="A129" s="75"/>
      <c r="B129" s="75"/>
      <c r="E129" s="72"/>
      <c r="M129" s="7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75"/>
      <c r="B130" s="75"/>
      <c r="E130" s="72"/>
      <c r="M130" s="74"/>
      <c r="P130" s="75"/>
      <c r="Q130" s="75"/>
      <c r="S130" s="72"/>
    </row>
    <row r="131">
      <c r="A131" s="75"/>
      <c r="B131" s="75"/>
      <c r="E131" s="72"/>
      <c r="M131" s="74"/>
      <c r="P131" s="75"/>
      <c r="Q131" s="75"/>
      <c r="S131" s="72"/>
    </row>
    <row r="132">
      <c r="A132" s="75"/>
      <c r="B132" s="75"/>
      <c r="E132" s="72"/>
      <c r="M132" s="74"/>
      <c r="P132" s="75"/>
      <c r="Q132" s="75"/>
      <c r="S132" s="72"/>
    </row>
    <row r="133">
      <c r="A133" s="75"/>
      <c r="B133" s="75"/>
      <c r="E133" s="72"/>
      <c r="M133" s="74"/>
      <c r="P133" s="75"/>
      <c r="Q133" s="75"/>
      <c r="S133" s="72"/>
      <c r="V133" s="78"/>
      <c r="W133" s="78"/>
    </row>
    <row r="134">
      <c r="A134" s="75"/>
      <c r="B134" s="75"/>
      <c r="E134" s="72"/>
      <c r="M134" s="74"/>
      <c r="P134" s="75"/>
      <c r="Q134" s="75"/>
      <c r="S134" s="72"/>
    </row>
    <row r="135">
      <c r="A135" s="75"/>
      <c r="B135" s="75"/>
      <c r="E135" s="72"/>
      <c r="M135" s="74"/>
      <c r="P135" s="75"/>
      <c r="Q135" s="75"/>
      <c r="S135" s="72"/>
    </row>
    <row r="136">
      <c r="A136" s="75"/>
      <c r="B136" s="75"/>
      <c r="E136" s="72"/>
      <c r="M136" s="74"/>
      <c r="P136" s="75"/>
      <c r="Q136" s="75"/>
      <c r="S136" s="72"/>
    </row>
    <row r="137">
      <c r="A137" s="75"/>
      <c r="B137" s="75"/>
      <c r="E137" s="72"/>
      <c r="M137" s="74"/>
      <c r="P137" s="75"/>
      <c r="Q137" s="75"/>
      <c r="S137" s="72"/>
    </row>
    <row r="138">
      <c r="A138" s="75"/>
      <c r="B138" s="75"/>
      <c r="E138" s="72"/>
      <c r="M138" s="74"/>
      <c r="P138" s="75"/>
      <c r="Q138" s="75"/>
      <c r="S138" s="72"/>
    </row>
    <row r="139">
      <c r="A139" s="75"/>
      <c r="B139" s="75"/>
      <c r="E139" s="72"/>
      <c r="M139" s="74"/>
      <c r="P139" s="75"/>
      <c r="Q139" s="75"/>
      <c r="S139" s="72"/>
    </row>
    <row r="140">
      <c r="A140" s="75"/>
      <c r="B140" s="75"/>
      <c r="E140" s="72"/>
      <c r="M140" s="74"/>
      <c r="P140" s="75"/>
      <c r="Q140" s="75"/>
      <c r="S140" s="72"/>
    </row>
    <row r="141">
      <c r="A141" s="75"/>
      <c r="B141" s="75"/>
      <c r="E141" s="72"/>
      <c r="M141" s="74"/>
      <c r="P141" s="75"/>
      <c r="Q141" s="75"/>
      <c r="S141" s="72"/>
    </row>
    <row r="142">
      <c r="A142" s="75"/>
      <c r="B142" s="75"/>
      <c r="E142" s="72"/>
      <c r="M142" s="74"/>
      <c r="P142" s="75"/>
      <c r="Q142" s="75"/>
      <c r="S142" s="72"/>
    </row>
    <row r="143">
      <c r="A143" s="75"/>
      <c r="B143" s="75"/>
      <c r="E143" s="72"/>
      <c r="M143" s="74"/>
      <c r="P143" s="75"/>
      <c r="Q143" s="75"/>
      <c r="S143" s="72"/>
    </row>
    <row r="144">
      <c r="A144" s="75"/>
      <c r="B144" s="75"/>
      <c r="E144" s="72"/>
      <c r="M144" s="74"/>
      <c r="P144" s="75"/>
      <c r="Q144" s="75"/>
      <c r="S144" s="72"/>
    </row>
    <row r="145">
      <c r="A145" s="75"/>
      <c r="B145" s="75"/>
      <c r="E145" s="72"/>
      <c r="M145" s="74"/>
      <c r="P145" s="75"/>
      <c r="Q145" s="75"/>
      <c r="S145" s="72"/>
    </row>
    <row r="146">
      <c r="A146" s="75"/>
      <c r="B146" s="75"/>
      <c r="E146" s="72"/>
      <c r="M146" s="74"/>
      <c r="P146" s="75"/>
      <c r="Q146" s="75"/>
      <c r="S146" s="72"/>
    </row>
    <row r="147">
      <c r="A147" s="75"/>
      <c r="B147" s="75"/>
      <c r="E147" s="72"/>
      <c r="M147" s="74"/>
      <c r="P147" s="75"/>
      <c r="Q147" s="75"/>
      <c r="S147" s="72"/>
    </row>
    <row r="148">
      <c r="A148" s="75"/>
      <c r="B148" s="75"/>
      <c r="E148" s="72"/>
      <c r="M148" s="74"/>
      <c r="P148" s="75"/>
      <c r="Q148" s="75"/>
      <c r="S148" s="72"/>
    </row>
    <row r="149">
      <c r="A149" s="75"/>
      <c r="B149" s="75"/>
      <c r="E149" s="72"/>
      <c r="M149" s="74"/>
      <c r="P149" s="75"/>
      <c r="Q149" s="75"/>
      <c r="S149" s="72"/>
    </row>
    <row r="150">
      <c r="A150" s="75"/>
      <c r="B150" s="75"/>
      <c r="E150" s="72"/>
      <c r="M150" s="74"/>
      <c r="P150" s="75"/>
      <c r="Q150" s="75"/>
      <c r="S150" s="72"/>
    </row>
    <row r="151">
      <c r="A151" s="75"/>
      <c r="B151" s="75"/>
      <c r="E151" s="72"/>
      <c r="M151" s="74"/>
      <c r="P151" s="75"/>
      <c r="Q151" s="75"/>
      <c r="S151" s="72"/>
    </row>
    <row r="152">
      <c r="A152" s="75"/>
      <c r="B152" s="75"/>
      <c r="E152" s="72"/>
      <c r="M152" s="74"/>
      <c r="P152" s="75"/>
      <c r="Q152" s="75"/>
      <c r="S152" s="72"/>
    </row>
    <row r="153">
      <c r="A153" s="75"/>
      <c r="B153" s="75"/>
      <c r="E153" s="72"/>
      <c r="M153" s="74"/>
      <c r="P153" s="75"/>
      <c r="Q153" s="75"/>
      <c r="S153" s="72"/>
    </row>
    <row r="154">
      <c r="A154" s="75"/>
      <c r="B154" s="75"/>
      <c r="E154" s="72"/>
      <c r="M154" s="74"/>
      <c r="P154" s="75"/>
      <c r="Q154" s="75"/>
      <c r="S154" s="72"/>
    </row>
    <row r="155">
      <c r="A155" s="75"/>
      <c r="B155" s="75"/>
      <c r="E155" s="72"/>
      <c r="M155" s="74"/>
      <c r="P155" s="75"/>
      <c r="Q155" s="75"/>
      <c r="S155" s="72"/>
    </row>
    <row r="156">
      <c r="A156" s="75"/>
      <c r="B156" s="75"/>
      <c r="E156" s="72"/>
      <c r="M156" s="74"/>
      <c r="P156" s="75"/>
      <c r="Q156" s="75"/>
      <c r="S156" s="72"/>
    </row>
    <row r="157">
      <c r="A157" s="75"/>
      <c r="B157" s="75"/>
      <c r="E157" s="72"/>
      <c r="M157" s="74"/>
      <c r="P157" s="75"/>
      <c r="Q157" s="75"/>
      <c r="S157" s="72"/>
    </row>
    <row r="158">
      <c r="A158" s="75"/>
      <c r="B158" s="75"/>
      <c r="E158" s="72"/>
      <c r="M158" s="74"/>
      <c r="P158" s="75"/>
      <c r="Q158" s="75"/>
      <c r="S158" s="72"/>
    </row>
    <row r="159">
      <c r="A159" s="75"/>
      <c r="B159" s="75"/>
      <c r="E159" s="72"/>
      <c r="M159" s="74"/>
      <c r="P159" s="75"/>
      <c r="Q159" s="75"/>
      <c r="S159" s="72"/>
    </row>
    <row r="160">
      <c r="A160" s="75"/>
      <c r="B160" s="75"/>
      <c r="E160" s="72"/>
      <c r="M160" s="74"/>
      <c r="P160" s="75"/>
      <c r="Q160" s="75"/>
      <c r="S160" s="72"/>
    </row>
    <row r="161">
      <c r="A161" s="75"/>
      <c r="B161" s="75"/>
      <c r="E161" s="72"/>
      <c r="M161" s="74"/>
      <c r="P161" s="75"/>
      <c r="Q161" s="75"/>
      <c r="S161" s="72"/>
    </row>
    <row r="162">
      <c r="A162" s="75"/>
      <c r="B162" s="75"/>
      <c r="E162" s="72"/>
      <c r="M162" s="74"/>
      <c r="P162" s="75"/>
      <c r="Q162" s="75"/>
      <c r="S162" s="72"/>
    </row>
    <row r="163">
      <c r="A163" s="75"/>
      <c r="B163" s="75"/>
      <c r="E163" s="72"/>
      <c r="M163" s="74"/>
      <c r="P163" s="75"/>
      <c r="Q163" s="75"/>
      <c r="S163" s="72"/>
    </row>
    <row r="164">
      <c r="A164" s="75"/>
      <c r="B164" s="75"/>
      <c r="E164" s="72"/>
      <c r="M164" s="74"/>
      <c r="P164" s="75"/>
      <c r="Q164" s="75"/>
      <c r="S164" s="72"/>
    </row>
    <row r="165">
      <c r="A165" s="75"/>
      <c r="B165" s="75"/>
      <c r="E165" s="72"/>
      <c r="M165" s="74"/>
      <c r="P165" s="75"/>
      <c r="Q165" s="75"/>
      <c r="S165" s="72"/>
    </row>
    <row r="166">
      <c r="A166" s="75"/>
      <c r="B166" s="75"/>
      <c r="E166" s="72"/>
      <c r="M166" s="74"/>
      <c r="P166" s="75"/>
      <c r="Q166" s="75"/>
      <c r="S166" s="72"/>
    </row>
    <row r="167">
      <c r="A167" s="75"/>
      <c r="B167" s="75"/>
      <c r="E167" s="72"/>
      <c r="M167" s="74"/>
      <c r="P167" s="75"/>
      <c r="Q167" s="75"/>
      <c r="S167" s="72"/>
    </row>
    <row r="168">
      <c r="A168" s="75"/>
      <c r="B168" s="75"/>
      <c r="E168" s="72"/>
      <c r="M168" s="74"/>
      <c r="P168" s="75"/>
      <c r="Q168" s="75"/>
      <c r="S168" s="72"/>
    </row>
    <row r="169">
      <c r="A169" s="75"/>
      <c r="B169" s="75"/>
      <c r="E169" s="72"/>
      <c r="M169" s="74"/>
      <c r="P169" s="75"/>
      <c r="Q169" s="75"/>
      <c r="S169" s="72"/>
    </row>
    <row r="170">
      <c r="A170" s="75"/>
      <c r="B170" s="75"/>
      <c r="E170" s="72"/>
      <c r="M170" s="74"/>
      <c r="P170" s="75"/>
      <c r="Q170" s="75"/>
      <c r="S170" s="72"/>
    </row>
    <row r="171">
      <c r="A171" s="75"/>
      <c r="B171" s="75"/>
      <c r="E171" s="72"/>
      <c r="M171" s="74"/>
      <c r="P171" s="75"/>
      <c r="Q171" s="75"/>
      <c r="S171" s="72"/>
    </row>
    <row r="172">
      <c r="A172" s="75"/>
      <c r="B172" s="75"/>
      <c r="E172" s="72"/>
      <c r="M172" s="74"/>
      <c r="P172" s="75"/>
      <c r="Q172" s="75"/>
      <c r="S172" s="72"/>
    </row>
    <row r="173">
      <c r="A173" s="75"/>
      <c r="B173" s="75"/>
      <c r="E173" s="72"/>
      <c r="M173" s="74"/>
      <c r="P173" s="75"/>
      <c r="Q173" s="75"/>
      <c r="S173" s="72"/>
    </row>
    <row r="174">
      <c r="A174" s="75"/>
      <c r="B174" s="75"/>
      <c r="E174" s="72"/>
      <c r="M174" s="74"/>
      <c r="P174" s="75"/>
      <c r="Q174" s="75"/>
      <c r="S174" s="72"/>
    </row>
    <row r="175">
      <c r="A175" s="75"/>
      <c r="B175" s="75"/>
      <c r="E175" s="72"/>
      <c r="M175" s="74"/>
      <c r="P175" s="75"/>
      <c r="Q175" s="75"/>
      <c r="S175" s="72"/>
    </row>
    <row r="176">
      <c r="A176" s="75"/>
      <c r="B176" s="75"/>
      <c r="E176" s="72"/>
      <c r="M176" s="74"/>
      <c r="P176" s="75"/>
      <c r="Q176" s="75"/>
      <c r="S176" s="72"/>
    </row>
    <row r="177">
      <c r="A177" s="75"/>
      <c r="B177" s="75"/>
      <c r="E177" s="72"/>
      <c r="M177" s="74"/>
      <c r="P177" s="75"/>
      <c r="Q177" s="75"/>
      <c r="S177" s="72"/>
    </row>
    <row r="178">
      <c r="A178" s="75"/>
      <c r="B178" s="75"/>
      <c r="E178" s="72"/>
      <c r="M178" s="74"/>
      <c r="P178" s="75"/>
      <c r="Q178" s="75"/>
      <c r="S178" s="72"/>
    </row>
    <row r="179">
      <c r="A179" s="75"/>
      <c r="B179" s="75"/>
      <c r="E179" s="72"/>
      <c r="M179" s="74"/>
      <c r="P179" s="75"/>
      <c r="Q179" s="75"/>
      <c r="S179" s="72"/>
    </row>
    <row r="180">
      <c r="A180" s="75"/>
      <c r="B180" s="75"/>
      <c r="E180" s="72"/>
      <c r="M180" s="74"/>
      <c r="P180" s="75"/>
      <c r="Q180" s="75"/>
      <c r="S180" s="72"/>
    </row>
    <row r="181">
      <c r="A181" s="75"/>
      <c r="B181" s="75"/>
      <c r="E181" s="72"/>
      <c r="M181" s="74"/>
      <c r="P181" s="75"/>
      <c r="Q181" s="75"/>
      <c r="S181" s="72"/>
    </row>
    <row r="182">
      <c r="A182" s="75"/>
      <c r="B182" s="75"/>
      <c r="E182" s="72"/>
      <c r="M182" s="74"/>
      <c r="P182" s="75"/>
      <c r="Q182" s="75"/>
      <c r="S182" s="72"/>
    </row>
    <row r="183">
      <c r="A183" s="75"/>
      <c r="B183" s="75"/>
      <c r="E183" s="72"/>
      <c r="M183" s="74"/>
      <c r="P183" s="75"/>
      <c r="Q183" s="75"/>
      <c r="S183" s="72"/>
    </row>
    <row r="184">
      <c r="A184" s="75"/>
      <c r="B184" s="75"/>
      <c r="E184" s="72"/>
      <c r="M184" s="74"/>
      <c r="P184" s="75"/>
      <c r="Q184" s="75"/>
      <c r="S184" s="72"/>
    </row>
    <row r="185">
      <c r="A185" s="75"/>
      <c r="B185" s="75"/>
      <c r="E185" s="72"/>
      <c r="M185" s="74"/>
      <c r="P185" s="75"/>
      <c r="Q185" s="75"/>
      <c r="S185" s="72"/>
    </row>
    <row r="186">
      <c r="A186" s="75"/>
      <c r="B186" s="75"/>
      <c r="E186" s="72"/>
      <c r="M186" s="74"/>
      <c r="P186" s="75"/>
      <c r="Q186" s="75"/>
      <c r="S186" s="72"/>
    </row>
    <row r="187">
      <c r="A187" s="75"/>
      <c r="B187" s="75"/>
      <c r="E187" s="72"/>
      <c r="M187" s="74"/>
      <c r="P187" s="75"/>
      <c r="Q187" s="75"/>
      <c r="S187" s="72"/>
    </row>
    <row r="188">
      <c r="A188" s="75"/>
      <c r="B188" s="75"/>
      <c r="E188" s="72"/>
      <c r="M188" s="74"/>
      <c r="P188" s="75"/>
      <c r="Q188" s="75"/>
      <c r="S188" s="72"/>
    </row>
    <row r="189">
      <c r="A189" s="75"/>
      <c r="B189" s="75"/>
      <c r="E189" s="72"/>
      <c r="M189" s="74"/>
      <c r="P189" s="75"/>
      <c r="Q189" s="75"/>
      <c r="S189" s="72"/>
    </row>
    <row r="190">
      <c r="A190" s="75"/>
      <c r="B190" s="75"/>
      <c r="E190" s="72"/>
      <c r="M190" s="74"/>
      <c r="P190" s="75"/>
      <c r="Q190" s="75"/>
      <c r="S190" s="72"/>
    </row>
    <row r="191">
      <c r="A191" s="75"/>
      <c r="B191" s="75"/>
      <c r="E191" s="72"/>
      <c r="M191" s="74"/>
      <c r="P191" s="75"/>
      <c r="Q191" s="75"/>
      <c r="S191" s="72"/>
    </row>
    <row r="192">
      <c r="A192" s="75"/>
      <c r="B192" s="75"/>
      <c r="E192" s="72"/>
      <c r="M192" s="74"/>
      <c r="P192" s="75"/>
      <c r="Q192" s="75"/>
      <c r="S192" s="72"/>
    </row>
    <row r="193">
      <c r="A193" s="75"/>
      <c r="B193" s="75"/>
      <c r="E193" s="72"/>
      <c r="M193" s="74"/>
      <c r="P193" s="75"/>
      <c r="Q193" s="75"/>
      <c r="S193" s="72"/>
    </row>
    <row r="194">
      <c r="A194" s="75"/>
      <c r="B194" s="75"/>
      <c r="E194" s="72"/>
      <c r="M194" s="74"/>
      <c r="P194" s="75"/>
      <c r="Q194" s="75"/>
      <c r="S194" s="72"/>
    </row>
    <row r="195">
      <c r="A195" s="75"/>
      <c r="B195" s="75"/>
      <c r="E195" s="72"/>
      <c r="M195" s="74"/>
      <c r="P195" s="75"/>
      <c r="Q195" s="75"/>
      <c r="S195" s="72"/>
    </row>
    <row r="196">
      <c r="A196" s="75"/>
      <c r="B196" s="75"/>
      <c r="E196" s="72"/>
      <c r="M196" s="74"/>
      <c r="P196" s="75"/>
      <c r="Q196" s="75"/>
      <c r="S196" s="72"/>
    </row>
    <row r="197">
      <c r="A197" s="75"/>
      <c r="B197" s="75"/>
      <c r="E197" s="72"/>
      <c r="M197" s="74"/>
      <c r="P197" s="75"/>
      <c r="Q197" s="75"/>
      <c r="S197" s="72"/>
    </row>
    <row r="198">
      <c r="A198" s="75"/>
      <c r="B198" s="75"/>
      <c r="E198" s="72"/>
      <c r="M198" s="74"/>
      <c r="P198" s="75"/>
      <c r="Q198" s="75"/>
      <c r="S198" s="72"/>
    </row>
    <row r="199">
      <c r="A199" s="75"/>
      <c r="B199" s="75"/>
      <c r="E199" s="72"/>
      <c r="M199" s="74"/>
      <c r="P199" s="75"/>
      <c r="Q199" s="75"/>
      <c r="S199" s="72"/>
    </row>
    <row r="200">
      <c r="A200" s="75"/>
      <c r="B200" s="75"/>
      <c r="E200" s="72"/>
      <c r="M200" s="74"/>
      <c r="P200" s="75"/>
      <c r="Q200" s="75"/>
      <c r="S200" s="72"/>
    </row>
    <row r="201">
      <c r="A201" s="75"/>
      <c r="B201" s="75"/>
      <c r="E201" s="72"/>
      <c r="M201" s="74"/>
      <c r="P201" s="75"/>
      <c r="Q201" s="75"/>
      <c r="S201" s="72"/>
    </row>
    <row r="202">
      <c r="A202" s="75"/>
      <c r="B202" s="75"/>
      <c r="E202" s="72"/>
      <c r="M202" s="74"/>
      <c r="P202" s="75"/>
      <c r="Q202" s="75"/>
      <c r="S202" s="72"/>
    </row>
    <row r="203">
      <c r="A203" s="75"/>
      <c r="B203" s="75"/>
      <c r="E203" s="72"/>
      <c r="M203" s="74"/>
      <c r="P203" s="75"/>
      <c r="Q203" s="75"/>
      <c r="S203" s="72"/>
    </row>
    <row r="204">
      <c r="A204" s="75"/>
      <c r="B204" s="75"/>
      <c r="E204" s="72"/>
      <c r="M204" s="74"/>
      <c r="P204" s="75"/>
      <c r="Q204" s="75"/>
      <c r="S204" s="72"/>
    </row>
    <row r="205">
      <c r="A205" s="75"/>
      <c r="B205" s="75"/>
      <c r="E205" s="72"/>
      <c r="M205" s="74"/>
      <c r="P205" s="75"/>
      <c r="Q205" s="75"/>
      <c r="S205" s="72"/>
    </row>
    <row r="206">
      <c r="A206" s="75"/>
      <c r="B206" s="75"/>
      <c r="E206" s="72"/>
      <c r="M206" s="74"/>
      <c r="P206" s="75"/>
      <c r="Q206" s="75"/>
      <c r="S206" s="72"/>
    </row>
    <row r="207">
      <c r="A207" s="75"/>
      <c r="B207" s="75"/>
      <c r="E207" s="72"/>
      <c r="M207" s="74"/>
      <c r="P207" s="75"/>
      <c r="Q207" s="75"/>
      <c r="S207" s="72"/>
    </row>
    <row r="208">
      <c r="A208" s="75"/>
      <c r="B208" s="75"/>
      <c r="E208" s="72"/>
      <c r="M208" s="74"/>
      <c r="P208" s="75"/>
      <c r="Q208" s="75"/>
      <c r="S208" s="72"/>
    </row>
    <row r="209">
      <c r="A209" s="75"/>
      <c r="B209" s="75"/>
      <c r="E209" s="72"/>
      <c r="M209" s="74"/>
      <c r="P209" s="75"/>
      <c r="Q209" s="75"/>
      <c r="S209" s="72"/>
    </row>
    <row r="210">
      <c r="A210" s="75"/>
      <c r="B210" s="75"/>
      <c r="E210" s="72"/>
      <c r="M210" s="74"/>
      <c r="P210" s="75"/>
      <c r="Q210" s="75"/>
      <c r="S210" s="72"/>
    </row>
    <row r="211">
      <c r="A211" s="75"/>
      <c r="B211" s="75"/>
      <c r="E211" s="72"/>
      <c r="M211" s="74"/>
      <c r="P211" s="75"/>
      <c r="Q211" s="75"/>
      <c r="S211" s="72"/>
    </row>
    <row r="212">
      <c r="A212" s="75"/>
      <c r="B212" s="75"/>
      <c r="E212" s="72"/>
      <c r="M212" s="74"/>
      <c r="P212" s="75"/>
      <c r="Q212" s="75"/>
      <c r="S212" s="72"/>
    </row>
    <row r="213">
      <c r="A213" s="75"/>
      <c r="B213" s="75"/>
      <c r="E213" s="72"/>
      <c r="M213" s="74"/>
      <c r="P213" s="75"/>
      <c r="Q213" s="75"/>
      <c r="S213" s="72"/>
    </row>
    <row r="214">
      <c r="A214" s="75"/>
      <c r="B214" s="75"/>
      <c r="E214" s="72"/>
      <c r="M214" s="74"/>
      <c r="P214" s="75"/>
      <c r="Q214" s="75"/>
      <c r="S214" s="72"/>
    </row>
    <row r="215">
      <c r="A215" s="75"/>
      <c r="B215" s="75"/>
      <c r="E215" s="72"/>
      <c r="M215" s="74"/>
      <c r="P215" s="75"/>
      <c r="Q215" s="75"/>
      <c r="S215" s="72"/>
    </row>
    <row r="216">
      <c r="A216" s="75"/>
      <c r="B216" s="75"/>
      <c r="E216" s="72"/>
      <c r="M216" s="74"/>
      <c r="P216" s="75"/>
      <c r="Q216" s="75"/>
      <c r="S216" s="72"/>
    </row>
    <row r="217">
      <c r="A217" s="75"/>
      <c r="B217" s="75"/>
      <c r="E217" s="72"/>
      <c r="M217" s="74"/>
      <c r="P217" s="75"/>
      <c r="Q217" s="75"/>
      <c r="S217" s="72"/>
    </row>
    <row r="218">
      <c r="A218" s="75"/>
      <c r="B218" s="75"/>
      <c r="E218" s="72"/>
      <c r="M218" s="74"/>
      <c r="P218" s="75"/>
      <c r="Q218" s="75"/>
      <c r="S218" s="72"/>
    </row>
    <row r="219">
      <c r="A219" s="75"/>
      <c r="B219" s="75"/>
      <c r="E219" s="72"/>
      <c r="M219" s="74"/>
      <c r="P219" s="75"/>
      <c r="Q219" s="75"/>
      <c r="S219" s="72"/>
    </row>
    <row r="220">
      <c r="A220" s="75"/>
      <c r="B220" s="75"/>
      <c r="E220" s="72"/>
      <c r="M220" s="74"/>
      <c r="P220" s="75"/>
      <c r="Q220" s="75"/>
      <c r="S220" s="72"/>
    </row>
    <row r="221">
      <c r="A221" s="75"/>
      <c r="B221" s="75"/>
      <c r="E221" s="72"/>
      <c r="M221" s="74"/>
      <c r="P221" s="75"/>
      <c r="Q221" s="75"/>
      <c r="S221" s="72"/>
    </row>
    <row r="222">
      <c r="A222" s="75"/>
      <c r="B222" s="75"/>
      <c r="E222" s="72"/>
      <c r="M222" s="74"/>
      <c r="P222" s="75"/>
      <c r="Q222" s="75"/>
      <c r="S222" s="72"/>
    </row>
    <row r="223">
      <c r="A223" s="75"/>
      <c r="B223" s="75"/>
      <c r="E223" s="72"/>
      <c r="M223" s="74"/>
      <c r="P223" s="75"/>
      <c r="Q223" s="75"/>
      <c r="S223" s="72"/>
    </row>
    <row r="224">
      <c r="A224" s="75"/>
      <c r="B224" s="75"/>
      <c r="E224" s="72"/>
      <c r="M224" s="74"/>
      <c r="P224" s="75"/>
      <c r="Q224" s="75"/>
      <c r="S224" s="72"/>
    </row>
    <row r="225">
      <c r="A225" s="75"/>
      <c r="B225" s="75"/>
      <c r="E225" s="72"/>
      <c r="M225" s="74"/>
      <c r="P225" s="75"/>
      <c r="Q225" s="75"/>
      <c r="S225" s="72"/>
    </row>
    <row r="226">
      <c r="A226" s="75"/>
      <c r="B226" s="75"/>
      <c r="E226" s="72"/>
      <c r="M226" s="74"/>
      <c r="P226" s="75"/>
      <c r="Q226" s="75"/>
      <c r="S226" s="72"/>
    </row>
    <row r="227">
      <c r="A227" s="75"/>
      <c r="B227" s="75"/>
      <c r="E227" s="72"/>
      <c r="M227" s="74"/>
      <c r="P227" s="75"/>
      <c r="Q227" s="75"/>
      <c r="S227" s="72"/>
    </row>
    <row r="228">
      <c r="A228" s="75"/>
      <c r="B228" s="75"/>
      <c r="E228" s="72"/>
      <c r="M228" s="74"/>
      <c r="P228" s="75"/>
      <c r="Q228" s="75"/>
      <c r="S228" s="72"/>
    </row>
    <row r="229">
      <c r="A229" s="75"/>
      <c r="B229" s="75"/>
      <c r="E229" s="72"/>
      <c r="M229" s="74"/>
      <c r="P229" s="75"/>
      <c r="Q229" s="75"/>
      <c r="S229" s="72"/>
    </row>
    <row r="230">
      <c r="A230" s="75"/>
      <c r="B230" s="75"/>
      <c r="E230" s="72"/>
      <c r="M230" s="74"/>
      <c r="P230" s="75"/>
      <c r="Q230" s="75"/>
      <c r="S230" s="72"/>
    </row>
    <row r="231">
      <c r="A231" s="75"/>
      <c r="B231" s="75"/>
      <c r="E231" s="72"/>
      <c r="M231" s="74"/>
      <c r="P231" s="75"/>
      <c r="Q231" s="75"/>
      <c r="S231" s="72"/>
    </row>
    <row r="232">
      <c r="A232" s="75"/>
      <c r="B232" s="75"/>
      <c r="E232" s="72"/>
      <c r="M232" s="74"/>
      <c r="P232" s="75"/>
      <c r="Q232" s="75"/>
      <c r="S232" s="72"/>
    </row>
    <row r="233">
      <c r="A233" s="75"/>
      <c r="B233" s="75"/>
      <c r="E233" s="72"/>
      <c r="M233" s="74"/>
      <c r="P233" s="75"/>
      <c r="Q233" s="75"/>
      <c r="S233" s="72"/>
    </row>
    <row r="234">
      <c r="A234" s="75"/>
      <c r="B234" s="75"/>
      <c r="E234" s="72"/>
      <c r="M234" s="74"/>
      <c r="P234" s="75"/>
      <c r="Q234" s="75"/>
      <c r="S234" s="72"/>
    </row>
    <row r="235">
      <c r="A235" s="75"/>
      <c r="B235" s="75"/>
      <c r="E235" s="72"/>
      <c r="M235" s="74"/>
      <c r="P235" s="75"/>
      <c r="Q235" s="75"/>
      <c r="S235" s="72"/>
    </row>
    <row r="236">
      <c r="A236" s="75"/>
      <c r="B236" s="75"/>
      <c r="E236" s="72"/>
      <c r="M236" s="74"/>
      <c r="P236" s="75"/>
      <c r="Q236" s="75"/>
      <c r="S236" s="72"/>
    </row>
    <row r="237">
      <c r="A237" s="75"/>
      <c r="B237" s="75"/>
      <c r="E237" s="72"/>
      <c r="M237" s="74"/>
      <c r="P237" s="75"/>
      <c r="Q237" s="75"/>
      <c r="S237" s="72"/>
    </row>
    <row r="238">
      <c r="A238" s="75"/>
      <c r="B238" s="75"/>
      <c r="E238" s="72"/>
      <c r="M238" s="74"/>
      <c r="P238" s="75"/>
      <c r="Q238" s="75"/>
      <c r="S238" s="72"/>
    </row>
    <row r="239">
      <c r="A239" s="75"/>
      <c r="B239" s="75"/>
      <c r="E239" s="72"/>
      <c r="M239" s="74"/>
      <c r="P239" s="75"/>
      <c r="Q239" s="75"/>
      <c r="S239" s="72"/>
    </row>
    <row r="240">
      <c r="A240" s="75"/>
      <c r="B240" s="75"/>
      <c r="E240" s="72"/>
      <c r="M240" s="74"/>
      <c r="P240" s="75"/>
      <c r="Q240" s="75"/>
      <c r="S240" s="72"/>
    </row>
    <row r="241">
      <c r="A241" s="75"/>
      <c r="B241" s="75"/>
      <c r="E241" s="72"/>
      <c r="M241" s="74"/>
      <c r="P241" s="75"/>
      <c r="Q241" s="75"/>
      <c r="S241" s="72"/>
    </row>
    <row r="242">
      <c r="A242" s="75"/>
      <c r="B242" s="75"/>
      <c r="E242" s="72"/>
      <c r="M242" s="74"/>
      <c r="P242" s="75"/>
      <c r="Q242" s="75"/>
      <c r="S242" s="72"/>
    </row>
    <row r="243">
      <c r="A243" s="75"/>
      <c r="B243" s="75"/>
      <c r="E243" s="72"/>
      <c r="M243" s="74"/>
      <c r="P243" s="75"/>
      <c r="Q243" s="75"/>
      <c r="S243" s="72"/>
    </row>
    <row r="244">
      <c r="A244" s="75"/>
      <c r="B244" s="75"/>
      <c r="E244" s="72"/>
      <c r="M244" s="74"/>
      <c r="P244" s="75"/>
      <c r="Q244" s="75"/>
      <c r="S244" s="72"/>
    </row>
    <row r="245">
      <c r="A245" s="75"/>
      <c r="B245" s="75"/>
      <c r="E245" s="72"/>
      <c r="M245" s="74"/>
      <c r="P245" s="75"/>
      <c r="Q245" s="75"/>
      <c r="S245" s="72"/>
    </row>
    <row r="246">
      <c r="A246" s="75"/>
      <c r="B246" s="75"/>
      <c r="E246" s="72"/>
      <c r="M246" s="74"/>
      <c r="P246" s="75"/>
      <c r="Q246" s="75"/>
      <c r="S246" s="72"/>
    </row>
    <row r="247">
      <c r="A247" s="75"/>
      <c r="B247" s="75"/>
      <c r="E247" s="72"/>
      <c r="M247" s="74"/>
      <c r="P247" s="75"/>
      <c r="Q247" s="75"/>
      <c r="S247" s="72"/>
    </row>
    <row r="248">
      <c r="A248" s="75"/>
      <c r="B248" s="75"/>
      <c r="E248" s="72"/>
      <c r="M248" s="74"/>
      <c r="P248" s="75"/>
      <c r="Q248" s="75"/>
      <c r="S248" s="72"/>
    </row>
    <row r="249">
      <c r="A249" s="75"/>
      <c r="B249" s="75"/>
      <c r="E249" s="72"/>
      <c r="M249" s="74"/>
      <c r="P249" s="75"/>
      <c r="Q249" s="75"/>
      <c r="S249" s="72"/>
    </row>
    <row r="250">
      <c r="A250" s="75"/>
      <c r="B250" s="75"/>
      <c r="E250" s="72"/>
      <c r="M250" s="74"/>
      <c r="P250" s="75"/>
      <c r="Q250" s="75"/>
      <c r="S250" s="72"/>
    </row>
    <row r="251">
      <c r="A251" s="75"/>
      <c r="B251" s="75"/>
      <c r="E251" s="72"/>
      <c r="M251" s="74"/>
      <c r="P251" s="75"/>
      <c r="Q251" s="75"/>
      <c r="S251" s="72"/>
    </row>
    <row r="252">
      <c r="A252" s="75"/>
      <c r="B252" s="75"/>
      <c r="E252" s="72"/>
      <c r="M252" s="74"/>
      <c r="P252" s="75"/>
      <c r="Q252" s="75"/>
      <c r="S252" s="72"/>
    </row>
    <row r="253">
      <c r="A253" s="75"/>
      <c r="B253" s="75"/>
      <c r="E253" s="72"/>
      <c r="M253" s="74"/>
      <c r="P253" s="75"/>
      <c r="Q253" s="75"/>
      <c r="S253" s="72"/>
    </row>
    <row r="254">
      <c r="A254" s="75"/>
      <c r="B254" s="75"/>
      <c r="E254" s="72"/>
      <c r="M254" s="74"/>
      <c r="P254" s="75"/>
      <c r="Q254" s="75"/>
      <c r="S254" s="72"/>
    </row>
    <row r="255">
      <c r="A255" s="75"/>
      <c r="B255" s="75"/>
      <c r="E255" s="72"/>
      <c r="M255" s="74"/>
      <c r="P255" s="75"/>
      <c r="Q255" s="75"/>
      <c r="S255" s="72"/>
    </row>
    <row r="256">
      <c r="A256" s="75"/>
      <c r="B256" s="75"/>
      <c r="E256" s="72"/>
      <c r="M256" s="74"/>
      <c r="P256" s="75"/>
      <c r="Q256" s="75"/>
      <c r="S256" s="72"/>
    </row>
    <row r="257">
      <c r="A257" s="75"/>
      <c r="B257" s="75"/>
      <c r="E257" s="72"/>
      <c r="M257" s="74"/>
      <c r="P257" s="75"/>
      <c r="Q257" s="75"/>
      <c r="S257" s="72"/>
    </row>
    <row r="258">
      <c r="A258" s="75"/>
      <c r="B258" s="75"/>
      <c r="E258" s="72"/>
      <c r="M258" s="74"/>
      <c r="P258" s="75"/>
      <c r="Q258" s="75"/>
      <c r="S258" s="72"/>
    </row>
    <row r="259">
      <c r="A259" s="75"/>
      <c r="B259" s="75"/>
      <c r="E259" s="72"/>
      <c r="M259" s="74"/>
      <c r="P259" s="75"/>
      <c r="Q259" s="75"/>
      <c r="S259" s="72"/>
    </row>
    <row r="260">
      <c r="A260" s="75"/>
      <c r="B260" s="75"/>
      <c r="E260" s="72"/>
      <c r="M260" s="74"/>
      <c r="P260" s="75"/>
      <c r="Q260" s="75"/>
      <c r="S260" s="72"/>
    </row>
    <row r="261">
      <c r="A261" s="75"/>
      <c r="B261" s="75"/>
      <c r="E261" s="72"/>
      <c r="M261" s="74"/>
      <c r="P261" s="75"/>
      <c r="Q261" s="75"/>
      <c r="S261" s="72"/>
    </row>
    <row r="262">
      <c r="A262" s="75"/>
      <c r="B262" s="75"/>
      <c r="E262" s="72"/>
      <c r="M262" s="74"/>
      <c r="P262" s="75"/>
      <c r="Q262" s="75"/>
      <c r="S262" s="72"/>
    </row>
    <row r="263">
      <c r="A263" s="75"/>
      <c r="B263" s="75"/>
      <c r="E263" s="72"/>
      <c r="M263" s="74"/>
      <c r="P263" s="75"/>
      <c r="Q263" s="75"/>
      <c r="S263" s="72"/>
    </row>
    <row r="264">
      <c r="A264" s="75"/>
      <c r="B264" s="75"/>
      <c r="E264" s="72"/>
      <c r="M264" s="74"/>
      <c r="P264" s="75"/>
      <c r="Q264" s="75"/>
      <c r="S264" s="72"/>
    </row>
    <row r="265">
      <c r="A265" s="75"/>
      <c r="B265" s="75"/>
      <c r="E265" s="72"/>
      <c r="M265" s="74"/>
      <c r="P265" s="75"/>
      <c r="Q265" s="75"/>
      <c r="S265" s="72"/>
    </row>
    <row r="266">
      <c r="A266" s="75"/>
      <c r="B266" s="75"/>
      <c r="E266" s="72"/>
      <c r="M266" s="74"/>
      <c r="P266" s="75"/>
      <c r="Q266" s="75"/>
      <c r="S266" s="72"/>
    </row>
    <row r="267">
      <c r="A267" s="75"/>
      <c r="B267" s="75"/>
      <c r="E267" s="72"/>
      <c r="M267" s="74"/>
      <c r="P267" s="75"/>
      <c r="Q267" s="75"/>
      <c r="S267" s="72"/>
    </row>
    <row r="268">
      <c r="A268" s="75"/>
      <c r="B268" s="75"/>
      <c r="E268" s="72"/>
      <c r="M268" s="74"/>
      <c r="P268" s="75"/>
      <c r="Q268" s="75"/>
      <c r="S268" s="72"/>
    </row>
    <row r="269">
      <c r="A269" s="75"/>
      <c r="B269" s="75"/>
      <c r="E269" s="72"/>
      <c r="M269" s="74"/>
      <c r="P269" s="75"/>
      <c r="Q269" s="75"/>
      <c r="S269" s="72"/>
    </row>
    <row r="270">
      <c r="A270" s="75"/>
      <c r="B270" s="75"/>
      <c r="E270" s="72"/>
      <c r="M270" s="74"/>
      <c r="P270" s="75"/>
      <c r="Q270" s="75"/>
      <c r="S270" s="72"/>
    </row>
    <row r="271">
      <c r="A271" s="75"/>
      <c r="B271" s="75"/>
      <c r="E271" s="72"/>
      <c r="M271" s="74"/>
      <c r="P271" s="75"/>
      <c r="Q271" s="75"/>
      <c r="S271" s="72"/>
    </row>
    <row r="272">
      <c r="A272" s="75"/>
      <c r="B272" s="75"/>
      <c r="E272" s="72"/>
      <c r="M272" s="74"/>
      <c r="P272" s="75"/>
      <c r="Q272" s="75"/>
      <c r="S272" s="72"/>
    </row>
    <row r="273">
      <c r="A273" s="75"/>
      <c r="B273" s="75"/>
      <c r="E273" s="72"/>
      <c r="M273" s="74"/>
      <c r="P273" s="75"/>
      <c r="Q273" s="75"/>
      <c r="S273" s="72"/>
    </row>
    <row r="274">
      <c r="A274" s="75"/>
      <c r="B274" s="75"/>
      <c r="E274" s="72"/>
      <c r="M274" s="74"/>
      <c r="P274" s="75"/>
      <c r="Q274" s="75"/>
      <c r="S274" s="72"/>
    </row>
    <row r="275">
      <c r="A275" s="75"/>
      <c r="B275" s="75"/>
      <c r="E275" s="72"/>
      <c r="M275" s="74"/>
      <c r="P275" s="75"/>
      <c r="Q275" s="75"/>
      <c r="S275" s="72"/>
    </row>
    <row r="276">
      <c r="A276" s="75"/>
      <c r="B276" s="75"/>
      <c r="E276" s="72"/>
      <c r="M276" s="74"/>
      <c r="P276" s="75"/>
      <c r="Q276" s="75"/>
      <c r="S276" s="72"/>
    </row>
    <row r="277">
      <c r="A277" s="75"/>
      <c r="B277" s="75"/>
      <c r="E277" s="72"/>
      <c r="M277" s="74"/>
      <c r="P277" s="75"/>
      <c r="Q277" s="75"/>
      <c r="S277" s="72"/>
    </row>
    <row r="278">
      <c r="A278" s="75"/>
      <c r="B278" s="75"/>
      <c r="E278" s="72"/>
      <c r="M278" s="74"/>
      <c r="P278" s="75"/>
      <c r="Q278" s="75"/>
      <c r="S278" s="72"/>
    </row>
    <row r="279">
      <c r="A279" s="75"/>
      <c r="B279" s="75"/>
      <c r="E279" s="72"/>
      <c r="M279" s="74"/>
      <c r="P279" s="75"/>
      <c r="Q279" s="75"/>
      <c r="S279" s="72"/>
    </row>
    <row r="280">
      <c r="A280" s="75"/>
      <c r="B280" s="75"/>
      <c r="E280" s="72"/>
      <c r="M280" s="74"/>
      <c r="P280" s="75"/>
      <c r="Q280" s="75"/>
      <c r="S280" s="72"/>
    </row>
    <row r="281">
      <c r="A281" s="75"/>
      <c r="B281" s="75"/>
      <c r="E281" s="72"/>
      <c r="M281" s="74"/>
      <c r="P281" s="75"/>
      <c r="Q281" s="75"/>
      <c r="S281" s="72"/>
    </row>
    <row r="282">
      <c r="A282" s="75"/>
      <c r="B282" s="75"/>
      <c r="E282" s="72"/>
      <c r="M282" s="74"/>
      <c r="P282" s="75"/>
      <c r="Q282" s="75"/>
      <c r="S282" s="72"/>
    </row>
    <row r="283">
      <c r="A283" s="75"/>
      <c r="B283" s="75"/>
      <c r="E283" s="72"/>
      <c r="M283" s="74"/>
      <c r="P283" s="75"/>
      <c r="Q283" s="75"/>
      <c r="S283" s="72"/>
    </row>
    <row r="284">
      <c r="A284" s="75"/>
      <c r="B284" s="75"/>
      <c r="E284" s="72"/>
      <c r="M284" s="74"/>
      <c r="P284" s="75"/>
      <c r="Q284" s="75"/>
      <c r="S284" s="72"/>
    </row>
    <row r="285">
      <c r="A285" s="75"/>
      <c r="B285" s="75"/>
      <c r="E285" s="72"/>
      <c r="M285" s="74"/>
      <c r="P285" s="75"/>
      <c r="Q285" s="75"/>
      <c r="S285" s="72"/>
    </row>
    <row r="286">
      <c r="A286" s="75"/>
      <c r="B286" s="75"/>
      <c r="E286" s="72"/>
      <c r="M286" s="74"/>
      <c r="P286" s="75"/>
      <c r="Q286" s="75"/>
      <c r="S286" s="72"/>
    </row>
    <row r="287">
      <c r="A287" s="75"/>
      <c r="B287" s="75"/>
      <c r="E287" s="72"/>
      <c r="M287" s="74"/>
      <c r="P287" s="75"/>
      <c r="Q287" s="75"/>
      <c r="S287" s="72"/>
    </row>
    <row r="288">
      <c r="A288" s="75"/>
      <c r="B288" s="75"/>
      <c r="E288" s="72"/>
      <c r="M288" s="74"/>
      <c r="P288" s="75"/>
      <c r="Q288" s="75"/>
      <c r="S288" s="72"/>
    </row>
    <row r="289">
      <c r="A289" s="75"/>
      <c r="B289" s="75"/>
      <c r="E289" s="72"/>
      <c r="M289" s="74"/>
      <c r="P289" s="75"/>
      <c r="Q289" s="75"/>
      <c r="S289" s="72"/>
    </row>
    <row r="290">
      <c r="A290" s="75"/>
      <c r="B290" s="75"/>
      <c r="E290" s="72"/>
      <c r="M290" s="74"/>
      <c r="P290" s="75"/>
      <c r="Q290" s="75"/>
      <c r="S290" s="72"/>
    </row>
    <row r="291">
      <c r="A291" s="75"/>
      <c r="B291" s="75"/>
      <c r="E291" s="72"/>
      <c r="M291" s="74"/>
      <c r="P291" s="75"/>
      <c r="Q291" s="75"/>
      <c r="S291" s="72"/>
    </row>
    <row r="292">
      <c r="A292" s="75"/>
      <c r="B292" s="75"/>
      <c r="E292" s="72"/>
      <c r="M292" s="74"/>
      <c r="P292" s="75"/>
      <c r="Q292" s="75"/>
      <c r="S292" s="72"/>
    </row>
    <row r="293">
      <c r="A293" s="75"/>
      <c r="B293" s="75"/>
      <c r="E293" s="72"/>
      <c r="M293" s="74"/>
      <c r="P293" s="75"/>
      <c r="Q293" s="75"/>
      <c r="S293" s="72"/>
    </row>
    <row r="294">
      <c r="A294" s="75"/>
      <c r="B294" s="75"/>
      <c r="E294" s="72"/>
      <c r="M294" s="74"/>
      <c r="P294" s="75"/>
      <c r="Q294" s="75"/>
      <c r="S294" s="72"/>
    </row>
    <row r="295">
      <c r="A295" s="75"/>
      <c r="B295" s="75"/>
      <c r="E295" s="72"/>
      <c r="M295" s="74"/>
      <c r="P295" s="75"/>
      <c r="Q295" s="75"/>
      <c r="S295" s="72"/>
    </row>
    <row r="296">
      <c r="A296" s="75"/>
      <c r="B296" s="75"/>
      <c r="E296" s="72"/>
      <c r="M296" s="74"/>
      <c r="P296" s="75"/>
      <c r="Q296" s="75"/>
      <c r="S296" s="72"/>
    </row>
    <row r="297">
      <c r="A297" s="75"/>
      <c r="B297" s="75"/>
      <c r="E297" s="72"/>
      <c r="M297" s="74"/>
      <c r="P297" s="75"/>
      <c r="Q297" s="75"/>
      <c r="S297" s="72"/>
    </row>
    <row r="298">
      <c r="A298" s="75"/>
      <c r="B298" s="75"/>
      <c r="E298" s="72"/>
      <c r="M298" s="74"/>
      <c r="P298" s="75"/>
      <c r="Q298" s="75"/>
      <c r="S298" s="72"/>
    </row>
    <row r="299">
      <c r="A299" s="75"/>
      <c r="B299" s="75"/>
      <c r="E299" s="72"/>
      <c r="M299" s="74"/>
      <c r="P299" s="75"/>
      <c r="Q299" s="75"/>
      <c r="S299" s="72"/>
    </row>
    <row r="300">
      <c r="A300" s="75"/>
      <c r="B300" s="75"/>
      <c r="E300" s="72"/>
      <c r="M300" s="74"/>
      <c r="P300" s="75"/>
      <c r="Q300" s="75"/>
      <c r="S300" s="72"/>
    </row>
    <row r="301">
      <c r="A301" s="75"/>
      <c r="B301" s="75"/>
      <c r="E301" s="72"/>
      <c r="M301" s="74"/>
      <c r="P301" s="75"/>
      <c r="Q301" s="75"/>
      <c r="S301" s="72"/>
    </row>
    <row r="302">
      <c r="A302" s="75"/>
      <c r="B302" s="75"/>
      <c r="E302" s="72"/>
      <c r="M302" s="74"/>
      <c r="P302" s="75"/>
      <c r="Q302" s="75"/>
      <c r="S302" s="72"/>
    </row>
    <row r="303">
      <c r="A303" s="75"/>
      <c r="B303" s="75"/>
      <c r="E303" s="72"/>
      <c r="M303" s="74"/>
      <c r="P303" s="75"/>
      <c r="Q303" s="75"/>
      <c r="S303" s="72"/>
    </row>
    <row r="304">
      <c r="A304" s="75"/>
      <c r="B304" s="75"/>
      <c r="E304" s="72"/>
      <c r="M304" s="74"/>
      <c r="P304" s="75"/>
      <c r="Q304" s="75"/>
      <c r="S304" s="72"/>
    </row>
    <row r="305">
      <c r="A305" s="75"/>
      <c r="B305" s="75"/>
      <c r="E305" s="72"/>
      <c r="M305" s="74"/>
      <c r="P305" s="75"/>
      <c r="Q305" s="75"/>
      <c r="S305" s="72"/>
    </row>
    <row r="306">
      <c r="A306" s="75"/>
      <c r="B306" s="75"/>
      <c r="E306" s="72"/>
      <c r="M306" s="74"/>
      <c r="P306" s="75"/>
      <c r="Q306" s="75"/>
      <c r="S306" s="72"/>
    </row>
    <row r="307">
      <c r="A307" s="75"/>
      <c r="B307" s="75"/>
      <c r="E307" s="72"/>
      <c r="M307" s="74"/>
      <c r="P307" s="75"/>
      <c r="Q307" s="75"/>
      <c r="S307" s="72"/>
    </row>
    <row r="308">
      <c r="A308" s="75"/>
      <c r="B308" s="75"/>
      <c r="E308" s="72"/>
      <c r="M308" s="74"/>
      <c r="P308" s="75"/>
      <c r="Q308" s="75"/>
      <c r="S308" s="72"/>
    </row>
    <row r="309">
      <c r="A309" s="75"/>
      <c r="B309" s="75"/>
      <c r="E309" s="72"/>
      <c r="M309" s="74"/>
      <c r="P309" s="75"/>
      <c r="Q309" s="75"/>
      <c r="S309" s="72"/>
    </row>
    <row r="310">
      <c r="A310" s="75"/>
      <c r="B310" s="75"/>
      <c r="E310" s="72"/>
      <c r="M310" s="74"/>
      <c r="P310" s="75"/>
      <c r="Q310" s="75"/>
      <c r="S310" s="72"/>
    </row>
    <row r="311">
      <c r="A311" s="75"/>
      <c r="B311" s="75"/>
      <c r="E311" s="72"/>
      <c r="M311" s="74"/>
      <c r="P311" s="75"/>
      <c r="Q311" s="75"/>
      <c r="S311" s="72"/>
    </row>
    <row r="312">
      <c r="A312" s="75"/>
      <c r="B312" s="75"/>
      <c r="E312" s="72"/>
      <c r="M312" s="74"/>
      <c r="P312" s="75"/>
      <c r="Q312" s="75"/>
      <c r="S312" s="72"/>
    </row>
    <row r="313">
      <c r="A313" s="75"/>
      <c r="B313" s="75"/>
      <c r="E313" s="72"/>
      <c r="M313" s="74"/>
      <c r="P313" s="75"/>
      <c r="Q313" s="75"/>
      <c r="S313" s="72"/>
    </row>
    <row r="314">
      <c r="A314" s="75"/>
      <c r="B314" s="75"/>
      <c r="E314" s="72"/>
      <c r="M314" s="74"/>
      <c r="P314" s="75"/>
      <c r="Q314" s="75"/>
      <c r="S314" s="72"/>
    </row>
    <row r="315">
      <c r="A315" s="75"/>
      <c r="B315" s="75"/>
      <c r="E315" s="72"/>
      <c r="M315" s="74"/>
      <c r="P315" s="75"/>
      <c r="Q315" s="75"/>
      <c r="S315" s="72"/>
    </row>
    <row r="316">
      <c r="A316" s="75"/>
      <c r="B316" s="75"/>
      <c r="E316" s="72"/>
      <c r="M316" s="74"/>
      <c r="P316" s="75"/>
      <c r="Q316" s="75"/>
      <c r="S316" s="72"/>
    </row>
    <row r="317">
      <c r="A317" s="75"/>
      <c r="B317" s="75"/>
      <c r="E317" s="72"/>
      <c r="M317" s="74"/>
      <c r="P317" s="75"/>
      <c r="Q317" s="75"/>
      <c r="S317" s="72"/>
    </row>
    <row r="318">
      <c r="A318" s="75"/>
      <c r="B318" s="75"/>
      <c r="E318" s="72"/>
      <c r="M318" s="74"/>
      <c r="P318" s="75"/>
      <c r="Q318" s="75"/>
      <c r="S318" s="72"/>
    </row>
    <row r="319">
      <c r="A319" s="75"/>
      <c r="B319" s="75"/>
      <c r="E319" s="72"/>
      <c r="M319" s="74"/>
      <c r="P319" s="75"/>
      <c r="Q319" s="75"/>
      <c r="S319" s="72"/>
    </row>
    <row r="320">
      <c r="A320" s="75"/>
      <c r="B320" s="75"/>
      <c r="E320" s="72"/>
      <c r="M320" s="74"/>
      <c r="P320" s="75"/>
      <c r="Q320" s="75"/>
      <c r="S320" s="72"/>
    </row>
    <row r="321">
      <c r="A321" s="75"/>
      <c r="B321" s="75"/>
      <c r="E321" s="72"/>
      <c r="M321" s="74"/>
      <c r="P321" s="75"/>
      <c r="Q321" s="75"/>
      <c r="S321" s="72"/>
    </row>
    <row r="322">
      <c r="A322" s="75"/>
      <c r="B322" s="75"/>
      <c r="E322" s="72"/>
      <c r="M322" s="74"/>
      <c r="P322" s="75"/>
      <c r="Q322" s="75"/>
      <c r="S322" s="72"/>
    </row>
    <row r="323">
      <c r="A323" s="75"/>
      <c r="B323" s="75"/>
      <c r="E323" s="72"/>
      <c r="M323" s="74"/>
      <c r="P323" s="75"/>
      <c r="Q323" s="75"/>
      <c r="S323" s="72"/>
    </row>
    <row r="324">
      <c r="A324" s="75"/>
      <c r="B324" s="75"/>
      <c r="E324" s="72"/>
      <c r="M324" s="74"/>
      <c r="P324" s="75"/>
      <c r="Q324" s="75"/>
      <c r="S324" s="72"/>
    </row>
    <row r="325">
      <c r="A325" s="75"/>
      <c r="B325" s="75"/>
      <c r="E325" s="72"/>
      <c r="M325" s="74"/>
      <c r="P325" s="75"/>
      <c r="Q325" s="75"/>
      <c r="S325" s="72"/>
    </row>
    <row r="326">
      <c r="A326" s="75"/>
      <c r="B326" s="75"/>
      <c r="E326" s="72"/>
      <c r="M326" s="74"/>
      <c r="P326" s="75"/>
      <c r="Q326" s="75"/>
      <c r="S326" s="72"/>
    </row>
    <row r="327">
      <c r="A327" s="75"/>
      <c r="B327" s="75"/>
      <c r="E327" s="72"/>
      <c r="M327" s="74"/>
      <c r="P327" s="75"/>
      <c r="Q327" s="75"/>
      <c r="S327" s="72"/>
    </row>
    <row r="328">
      <c r="A328" s="75"/>
      <c r="B328" s="75"/>
      <c r="E328" s="72"/>
      <c r="M328" s="74"/>
      <c r="P328" s="75"/>
      <c r="Q328" s="75"/>
      <c r="S328" s="72"/>
    </row>
    <row r="329">
      <c r="A329" s="75"/>
      <c r="B329" s="75"/>
      <c r="E329" s="72"/>
      <c r="M329" s="74"/>
      <c r="P329" s="75"/>
      <c r="Q329" s="75"/>
      <c r="S329" s="72"/>
    </row>
    <row r="330">
      <c r="A330" s="75"/>
      <c r="B330" s="75"/>
      <c r="E330" s="72"/>
      <c r="M330" s="74"/>
      <c r="P330" s="75"/>
      <c r="Q330" s="75"/>
      <c r="S330" s="72"/>
    </row>
    <row r="331">
      <c r="A331" s="75"/>
      <c r="B331" s="75"/>
      <c r="E331" s="72"/>
      <c r="M331" s="74"/>
      <c r="P331" s="75"/>
      <c r="Q331" s="75"/>
      <c r="S331" s="72"/>
    </row>
    <row r="332">
      <c r="A332" s="75"/>
      <c r="B332" s="75"/>
      <c r="E332" s="72"/>
      <c r="M332" s="74"/>
      <c r="P332" s="75"/>
      <c r="Q332" s="75"/>
      <c r="S332" s="72"/>
    </row>
    <row r="333">
      <c r="A333" s="75"/>
      <c r="B333" s="75"/>
      <c r="E333" s="72"/>
      <c r="M333" s="74"/>
      <c r="P333" s="75"/>
      <c r="Q333" s="75"/>
      <c r="S333" s="72"/>
    </row>
    <row r="334">
      <c r="A334" s="75"/>
      <c r="B334" s="75"/>
      <c r="E334" s="72"/>
      <c r="M334" s="74"/>
      <c r="P334" s="75"/>
      <c r="Q334" s="75"/>
      <c r="S334" s="72"/>
    </row>
    <row r="335">
      <c r="A335" s="75"/>
      <c r="B335" s="75"/>
      <c r="E335" s="72"/>
      <c r="M335" s="74"/>
      <c r="P335" s="75"/>
      <c r="Q335" s="75"/>
      <c r="S335" s="72"/>
    </row>
    <row r="336">
      <c r="A336" s="75"/>
      <c r="B336" s="75"/>
      <c r="E336" s="72"/>
      <c r="M336" s="74"/>
      <c r="P336" s="75"/>
      <c r="Q336" s="75"/>
      <c r="S336" s="72"/>
    </row>
    <row r="337">
      <c r="A337" s="75"/>
      <c r="B337" s="75"/>
      <c r="E337" s="72"/>
      <c r="M337" s="74"/>
      <c r="P337" s="75"/>
      <c r="Q337" s="75"/>
      <c r="S337" s="72"/>
    </row>
    <row r="338">
      <c r="A338" s="75"/>
      <c r="B338" s="75"/>
      <c r="E338" s="72"/>
      <c r="M338" s="74"/>
      <c r="P338" s="75"/>
      <c r="Q338" s="75"/>
      <c r="S338" s="72"/>
    </row>
    <row r="339">
      <c r="A339" s="75"/>
      <c r="B339" s="75"/>
      <c r="E339" s="72"/>
      <c r="M339" s="74"/>
      <c r="P339" s="75"/>
      <c r="Q339" s="75"/>
      <c r="S339" s="72"/>
    </row>
    <row r="340">
      <c r="A340" s="75"/>
      <c r="B340" s="75"/>
      <c r="E340" s="72"/>
      <c r="M340" s="74"/>
      <c r="P340" s="75"/>
      <c r="Q340" s="75"/>
      <c r="S340" s="72"/>
    </row>
    <row r="341">
      <c r="A341" s="75"/>
      <c r="B341" s="75"/>
      <c r="E341" s="72"/>
      <c r="M341" s="74"/>
      <c r="P341" s="75"/>
      <c r="Q341" s="75"/>
      <c r="S341" s="72"/>
    </row>
    <row r="342">
      <c r="A342" s="75"/>
      <c r="B342" s="75"/>
      <c r="E342" s="72"/>
      <c r="M342" s="74"/>
      <c r="P342" s="75"/>
      <c r="Q342" s="75"/>
      <c r="S342" s="72"/>
    </row>
    <row r="343">
      <c r="A343" s="75"/>
      <c r="B343" s="75"/>
      <c r="E343" s="72"/>
      <c r="M343" s="74"/>
      <c r="P343" s="75"/>
      <c r="Q343" s="75"/>
      <c r="S343" s="72"/>
    </row>
    <row r="344">
      <c r="A344" s="75"/>
      <c r="B344" s="75"/>
      <c r="E344" s="72"/>
      <c r="M344" s="74"/>
      <c r="P344" s="75"/>
      <c r="Q344" s="75"/>
      <c r="S344" s="72"/>
    </row>
    <row r="345">
      <c r="A345" s="75"/>
      <c r="B345" s="75"/>
      <c r="E345" s="72"/>
      <c r="M345" s="74"/>
      <c r="P345" s="75"/>
      <c r="Q345" s="75"/>
      <c r="S345" s="72"/>
    </row>
    <row r="346">
      <c r="A346" s="75"/>
      <c r="B346" s="75"/>
      <c r="E346" s="72"/>
      <c r="M346" s="74"/>
      <c r="P346" s="75"/>
      <c r="Q346" s="75"/>
      <c r="S346" s="72"/>
    </row>
    <row r="347">
      <c r="A347" s="75"/>
      <c r="B347" s="75"/>
      <c r="E347" s="72"/>
      <c r="M347" s="74"/>
      <c r="P347" s="75"/>
      <c r="Q347" s="75"/>
      <c r="S347" s="72"/>
    </row>
    <row r="348">
      <c r="A348" s="75"/>
      <c r="B348" s="75"/>
      <c r="E348" s="72"/>
      <c r="M348" s="74"/>
      <c r="P348" s="75"/>
      <c r="Q348" s="75"/>
      <c r="S348" s="72"/>
    </row>
    <row r="349">
      <c r="A349" s="75"/>
      <c r="B349" s="75"/>
      <c r="E349" s="72"/>
      <c r="M349" s="74"/>
      <c r="P349" s="75"/>
      <c r="Q349" s="75"/>
      <c r="S349" s="72"/>
    </row>
    <row r="350">
      <c r="A350" s="75"/>
      <c r="B350" s="75"/>
      <c r="E350" s="72"/>
      <c r="M350" s="74"/>
      <c r="P350" s="75"/>
      <c r="Q350" s="75"/>
      <c r="S350" s="72"/>
    </row>
    <row r="351">
      <c r="A351" s="75"/>
      <c r="B351" s="75"/>
      <c r="E351" s="72"/>
      <c r="M351" s="74"/>
      <c r="P351" s="75"/>
      <c r="Q351" s="75"/>
      <c r="S351" s="72"/>
    </row>
    <row r="352">
      <c r="A352" s="75"/>
      <c r="B352" s="75"/>
      <c r="E352" s="72"/>
      <c r="M352" s="74"/>
      <c r="P352" s="75"/>
      <c r="Q352" s="75"/>
      <c r="S352" s="72"/>
    </row>
    <row r="353">
      <c r="A353" s="75"/>
      <c r="B353" s="75"/>
      <c r="E353" s="72"/>
      <c r="M353" s="74"/>
      <c r="P353" s="75"/>
      <c r="Q353" s="75"/>
      <c r="S353" s="72"/>
    </row>
    <row r="354">
      <c r="A354" s="75"/>
      <c r="B354" s="75"/>
      <c r="E354" s="72"/>
      <c r="M354" s="74"/>
      <c r="P354" s="75"/>
      <c r="Q354" s="75"/>
      <c r="S354" s="72"/>
    </row>
    <row r="355">
      <c r="A355" s="75"/>
      <c r="B355" s="75"/>
      <c r="E355" s="72"/>
      <c r="M355" s="74"/>
      <c r="P355" s="75"/>
      <c r="Q355" s="75"/>
      <c r="S355" s="72"/>
    </row>
    <row r="356">
      <c r="A356" s="75"/>
      <c r="B356" s="75"/>
      <c r="E356" s="72"/>
      <c r="M356" s="74"/>
      <c r="P356" s="75"/>
      <c r="Q356" s="75"/>
      <c r="S356" s="72"/>
    </row>
    <row r="357">
      <c r="A357" s="75"/>
      <c r="B357" s="75"/>
      <c r="E357" s="72"/>
      <c r="M357" s="74"/>
      <c r="P357" s="75"/>
      <c r="Q357" s="75"/>
      <c r="S357" s="72"/>
    </row>
    <row r="358">
      <c r="A358" s="75"/>
      <c r="B358" s="75"/>
      <c r="E358" s="72"/>
      <c r="M358" s="74"/>
      <c r="P358" s="75"/>
      <c r="Q358" s="75"/>
      <c r="S358" s="72"/>
    </row>
    <row r="359">
      <c r="A359" s="75"/>
      <c r="B359" s="75"/>
      <c r="E359" s="72"/>
      <c r="M359" s="74"/>
      <c r="P359" s="75"/>
      <c r="Q359" s="75"/>
      <c r="S359" s="72"/>
    </row>
    <row r="360">
      <c r="A360" s="75"/>
      <c r="B360" s="75"/>
      <c r="E360" s="72"/>
      <c r="M360" s="74"/>
      <c r="P360" s="75"/>
      <c r="Q360" s="75"/>
      <c r="S360" s="72"/>
    </row>
    <row r="361">
      <c r="A361" s="75"/>
      <c r="B361" s="75"/>
      <c r="E361" s="72"/>
      <c r="M361" s="74"/>
      <c r="P361" s="75"/>
      <c r="Q361" s="75"/>
      <c r="S361" s="72"/>
    </row>
    <row r="362">
      <c r="A362" s="75"/>
      <c r="B362" s="75"/>
      <c r="E362" s="72"/>
      <c r="M362" s="74"/>
      <c r="P362" s="75"/>
      <c r="Q362" s="75"/>
      <c r="S362" s="72"/>
    </row>
    <row r="363">
      <c r="A363" s="75"/>
      <c r="B363" s="75"/>
      <c r="E363" s="72"/>
      <c r="M363" s="74"/>
      <c r="P363" s="75"/>
      <c r="Q363" s="75"/>
      <c r="S363" s="72"/>
    </row>
    <row r="364">
      <c r="A364" s="75"/>
      <c r="B364" s="75"/>
      <c r="E364" s="72"/>
      <c r="M364" s="74"/>
      <c r="P364" s="75"/>
      <c r="Q364" s="75"/>
      <c r="S364" s="72"/>
    </row>
    <row r="365">
      <c r="A365" s="75"/>
      <c r="B365" s="75"/>
      <c r="E365" s="72"/>
      <c r="M365" s="74"/>
      <c r="P365" s="75"/>
      <c r="Q365" s="75"/>
      <c r="S365" s="72"/>
    </row>
    <row r="366">
      <c r="A366" s="75"/>
      <c r="B366" s="75"/>
      <c r="E366" s="72"/>
      <c r="M366" s="74"/>
      <c r="P366" s="75"/>
      <c r="Q366" s="75"/>
      <c r="S366" s="72"/>
    </row>
    <row r="367">
      <c r="A367" s="75"/>
      <c r="B367" s="75"/>
      <c r="E367" s="72"/>
      <c r="M367" s="74"/>
      <c r="P367" s="75"/>
      <c r="Q367" s="75"/>
      <c r="S367" s="72"/>
    </row>
    <row r="368">
      <c r="A368" s="75"/>
      <c r="B368" s="75"/>
      <c r="E368" s="72"/>
      <c r="M368" s="74"/>
      <c r="P368" s="75"/>
      <c r="Q368" s="75"/>
      <c r="S368" s="72"/>
    </row>
    <row r="369">
      <c r="A369" s="75"/>
      <c r="B369" s="75"/>
      <c r="E369" s="72"/>
      <c r="M369" s="74"/>
      <c r="P369" s="75"/>
      <c r="Q369" s="75"/>
      <c r="S369" s="72"/>
    </row>
    <row r="370">
      <c r="A370" s="75"/>
      <c r="B370" s="75"/>
      <c r="E370" s="72"/>
      <c r="M370" s="74"/>
      <c r="P370" s="75"/>
      <c r="Q370" s="75"/>
      <c r="S370" s="72"/>
    </row>
    <row r="371">
      <c r="A371" s="75"/>
      <c r="B371" s="75"/>
      <c r="E371" s="72"/>
      <c r="M371" s="74"/>
      <c r="P371" s="75"/>
      <c r="Q371" s="75"/>
      <c r="S371" s="72"/>
    </row>
    <row r="372">
      <c r="A372" s="75"/>
      <c r="B372" s="75"/>
      <c r="E372" s="72"/>
      <c r="M372" s="74"/>
      <c r="P372" s="75"/>
      <c r="Q372" s="75"/>
      <c r="S372" s="72"/>
    </row>
    <row r="373">
      <c r="A373" s="75"/>
      <c r="B373" s="75"/>
      <c r="E373" s="72"/>
      <c r="M373" s="74"/>
      <c r="P373" s="75"/>
      <c r="Q373" s="75"/>
      <c r="S373" s="72"/>
    </row>
    <row r="374">
      <c r="A374" s="75"/>
      <c r="B374" s="75"/>
      <c r="E374" s="72"/>
      <c r="M374" s="74"/>
      <c r="P374" s="75"/>
      <c r="Q374" s="75"/>
      <c r="S374" s="72"/>
    </row>
    <row r="375">
      <c r="A375" s="75"/>
      <c r="B375" s="75"/>
      <c r="E375" s="72"/>
      <c r="M375" s="74"/>
      <c r="P375" s="75"/>
      <c r="Q375" s="75"/>
      <c r="S375" s="72"/>
    </row>
    <row r="376">
      <c r="A376" s="75"/>
      <c r="B376" s="75"/>
      <c r="E376" s="72"/>
      <c r="M376" s="74"/>
      <c r="P376" s="75"/>
      <c r="Q376" s="75"/>
      <c r="S376" s="72"/>
    </row>
    <row r="377">
      <c r="A377" s="75"/>
      <c r="B377" s="75"/>
      <c r="E377" s="72"/>
      <c r="M377" s="74"/>
      <c r="P377" s="75"/>
      <c r="Q377" s="75"/>
      <c r="S377" s="72"/>
    </row>
    <row r="378">
      <c r="A378" s="75"/>
      <c r="B378" s="75"/>
      <c r="E378" s="72"/>
      <c r="M378" s="74"/>
      <c r="P378" s="75"/>
      <c r="Q378" s="75"/>
      <c r="S378" s="72"/>
    </row>
    <row r="379">
      <c r="A379" s="75"/>
      <c r="B379" s="75"/>
      <c r="E379" s="72"/>
      <c r="M379" s="74"/>
      <c r="P379" s="75"/>
      <c r="Q379" s="75"/>
      <c r="S379" s="72"/>
    </row>
    <row r="380">
      <c r="A380" s="75"/>
      <c r="B380" s="75"/>
      <c r="E380" s="72"/>
      <c r="M380" s="74"/>
      <c r="P380" s="75"/>
      <c r="Q380" s="75"/>
      <c r="S380" s="72"/>
    </row>
    <row r="381">
      <c r="A381" s="75"/>
      <c r="B381" s="75"/>
      <c r="E381" s="72"/>
      <c r="M381" s="74"/>
      <c r="P381" s="75"/>
      <c r="Q381" s="75"/>
      <c r="S381" s="72"/>
    </row>
    <row r="382">
      <c r="A382" s="75"/>
      <c r="B382" s="75"/>
      <c r="E382" s="72"/>
      <c r="M382" s="74"/>
      <c r="P382" s="75"/>
      <c r="Q382" s="75"/>
      <c r="S382" s="72"/>
    </row>
    <row r="383">
      <c r="A383" s="75"/>
      <c r="B383" s="75"/>
      <c r="E383" s="72"/>
      <c r="M383" s="74"/>
      <c r="P383" s="75"/>
      <c r="Q383" s="75"/>
      <c r="S383" s="72"/>
    </row>
    <row r="384">
      <c r="A384" s="75"/>
      <c r="B384" s="75"/>
      <c r="E384" s="72"/>
      <c r="M384" s="74"/>
      <c r="P384" s="75"/>
      <c r="Q384" s="75"/>
      <c r="S384" s="72"/>
    </row>
    <row r="385">
      <c r="A385" s="75"/>
      <c r="B385" s="75"/>
      <c r="E385" s="72"/>
      <c r="M385" s="74"/>
      <c r="P385" s="75"/>
      <c r="Q385" s="75"/>
      <c r="S385" s="72"/>
    </row>
    <row r="386">
      <c r="A386" s="75"/>
      <c r="B386" s="75"/>
      <c r="E386" s="72"/>
      <c r="M386" s="74"/>
      <c r="P386" s="75"/>
      <c r="Q386" s="75"/>
      <c r="S386" s="72"/>
    </row>
    <row r="387">
      <c r="A387" s="75"/>
      <c r="B387" s="75"/>
      <c r="E387" s="72"/>
      <c r="M387" s="74"/>
      <c r="P387" s="75"/>
      <c r="Q387" s="75"/>
      <c r="S387" s="72"/>
    </row>
    <row r="388">
      <c r="A388" s="75"/>
      <c r="B388" s="75"/>
      <c r="E388" s="72"/>
      <c r="M388" s="74"/>
      <c r="P388" s="75"/>
      <c r="Q388" s="75"/>
      <c r="S388" s="72"/>
    </row>
    <row r="389">
      <c r="A389" s="75"/>
      <c r="B389" s="75"/>
      <c r="E389" s="72"/>
      <c r="M389" s="74"/>
      <c r="P389" s="75"/>
      <c r="Q389" s="75"/>
      <c r="S389" s="72"/>
    </row>
    <row r="390">
      <c r="A390" s="75"/>
      <c r="B390" s="75"/>
      <c r="E390" s="72"/>
      <c r="M390" s="74"/>
      <c r="P390" s="75"/>
      <c r="Q390" s="75"/>
      <c r="S390" s="72"/>
    </row>
    <row r="391">
      <c r="A391" s="75"/>
      <c r="B391" s="75"/>
      <c r="E391" s="72"/>
      <c r="M391" s="74"/>
      <c r="P391" s="75"/>
      <c r="Q391" s="75"/>
      <c r="S391" s="72"/>
    </row>
    <row r="392">
      <c r="A392" s="75"/>
      <c r="B392" s="75"/>
      <c r="E392" s="72"/>
      <c r="M392" s="74"/>
      <c r="P392" s="75"/>
      <c r="Q392" s="75"/>
      <c r="S392" s="72"/>
    </row>
    <row r="393">
      <c r="A393" s="75"/>
      <c r="B393" s="75"/>
      <c r="E393" s="72"/>
      <c r="M393" s="74"/>
      <c r="P393" s="75"/>
      <c r="Q393" s="75"/>
      <c r="S393" s="72"/>
    </row>
    <row r="394">
      <c r="A394" s="75"/>
      <c r="B394" s="75"/>
      <c r="E394" s="72"/>
      <c r="M394" s="74"/>
      <c r="P394" s="75"/>
      <c r="Q394" s="75"/>
      <c r="S394" s="72"/>
    </row>
    <row r="395">
      <c r="A395" s="75"/>
      <c r="B395" s="75"/>
      <c r="E395" s="72"/>
      <c r="M395" s="74"/>
      <c r="P395" s="75"/>
      <c r="Q395" s="75"/>
      <c r="S395" s="72"/>
    </row>
    <row r="396">
      <c r="A396" s="75"/>
      <c r="B396" s="75"/>
      <c r="E396" s="72"/>
      <c r="M396" s="74"/>
      <c r="P396" s="75"/>
      <c r="Q396" s="75"/>
      <c r="S396" s="72"/>
    </row>
    <row r="397">
      <c r="A397" s="75"/>
      <c r="B397" s="75"/>
      <c r="E397" s="72"/>
      <c r="M397" s="74"/>
      <c r="P397" s="75"/>
      <c r="Q397" s="75"/>
      <c r="S397" s="72"/>
    </row>
    <row r="398">
      <c r="A398" s="75"/>
      <c r="B398" s="75"/>
      <c r="E398" s="72"/>
      <c r="M398" s="74"/>
      <c r="P398" s="75"/>
      <c r="Q398" s="75"/>
      <c r="S398" s="72"/>
    </row>
    <row r="399">
      <c r="A399" s="75"/>
      <c r="B399" s="75"/>
      <c r="E399" s="72"/>
      <c r="M399" s="74"/>
      <c r="P399" s="75"/>
      <c r="Q399" s="75"/>
      <c r="S399" s="72"/>
    </row>
    <row r="400">
      <c r="A400" s="75"/>
      <c r="B400" s="75"/>
      <c r="E400" s="72"/>
      <c r="M400" s="74"/>
      <c r="P400" s="75"/>
      <c r="Q400" s="75"/>
      <c r="S400" s="72"/>
    </row>
    <row r="401">
      <c r="A401" s="75"/>
      <c r="B401" s="75"/>
      <c r="E401" s="72"/>
      <c r="M401" s="74"/>
      <c r="P401" s="75"/>
      <c r="Q401" s="75"/>
      <c r="S401" s="72"/>
    </row>
    <row r="402">
      <c r="A402" s="75"/>
      <c r="B402" s="75"/>
      <c r="E402" s="72"/>
      <c r="M402" s="74"/>
      <c r="P402" s="75"/>
      <c r="Q402" s="75"/>
      <c r="S402" s="72"/>
    </row>
    <row r="403">
      <c r="A403" s="75"/>
      <c r="B403" s="75"/>
      <c r="E403" s="72"/>
      <c r="M403" s="74"/>
      <c r="P403" s="75"/>
      <c r="Q403" s="75"/>
      <c r="S403" s="72"/>
    </row>
    <row r="404">
      <c r="A404" s="75"/>
      <c r="B404" s="75"/>
      <c r="E404" s="72"/>
      <c r="M404" s="74"/>
      <c r="P404" s="75"/>
      <c r="Q404" s="75"/>
      <c r="S404" s="72"/>
    </row>
    <row r="405">
      <c r="A405" s="75"/>
      <c r="B405" s="75"/>
      <c r="E405" s="72"/>
      <c r="M405" s="74"/>
      <c r="P405" s="75"/>
      <c r="Q405" s="75"/>
      <c r="S405" s="72"/>
    </row>
    <row r="406">
      <c r="A406" s="75"/>
      <c r="B406" s="75"/>
      <c r="E406" s="72"/>
      <c r="M406" s="74"/>
      <c r="P406" s="75"/>
      <c r="Q406" s="75"/>
      <c r="S406" s="72"/>
    </row>
    <row r="407">
      <c r="A407" s="75"/>
      <c r="B407" s="75"/>
      <c r="E407" s="72"/>
      <c r="M407" s="74"/>
      <c r="P407" s="75"/>
      <c r="Q407" s="75"/>
      <c r="S407" s="72"/>
    </row>
    <row r="408">
      <c r="A408" s="75"/>
      <c r="B408" s="75"/>
      <c r="E408" s="72"/>
      <c r="M408" s="74"/>
      <c r="P408" s="75"/>
      <c r="Q408" s="75"/>
      <c r="S408" s="72"/>
    </row>
    <row r="409">
      <c r="A409" s="75"/>
      <c r="B409" s="75"/>
      <c r="E409" s="72"/>
      <c r="M409" s="74"/>
      <c r="P409" s="75"/>
      <c r="Q409" s="75"/>
      <c r="S409" s="72"/>
    </row>
    <row r="410">
      <c r="A410" s="75"/>
      <c r="B410" s="75"/>
      <c r="E410" s="72"/>
      <c r="M410" s="74"/>
      <c r="P410" s="75"/>
      <c r="Q410" s="75"/>
      <c r="S410" s="72"/>
    </row>
    <row r="411">
      <c r="A411" s="75"/>
      <c r="B411" s="75"/>
      <c r="E411" s="72"/>
      <c r="M411" s="74"/>
      <c r="P411" s="75"/>
      <c r="Q411" s="75"/>
      <c r="S411" s="72"/>
    </row>
    <row r="412">
      <c r="A412" s="75"/>
      <c r="B412" s="75"/>
      <c r="E412" s="72"/>
      <c r="M412" s="74"/>
      <c r="P412" s="75"/>
      <c r="Q412" s="75"/>
      <c r="S412" s="72"/>
    </row>
    <row r="413">
      <c r="A413" s="75"/>
      <c r="B413" s="75"/>
      <c r="E413" s="72"/>
      <c r="M413" s="74"/>
      <c r="P413" s="75"/>
      <c r="Q413" s="75"/>
      <c r="S413" s="72"/>
    </row>
    <row r="414">
      <c r="A414" s="75"/>
      <c r="B414" s="75"/>
      <c r="E414" s="72"/>
      <c r="M414" s="74"/>
      <c r="P414" s="75"/>
      <c r="Q414" s="75"/>
      <c r="S414" s="72"/>
    </row>
    <row r="415">
      <c r="A415" s="75"/>
      <c r="B415" s="75"/>
      <c r="E415" s="72"/>
      <c r="M415" s="74"/>
      <c r="P415" s="75"/>
      <c r="Q415" s="75"/>
      <c r="S415" s="72"/>
    </row>
    <row r="416">
      <c r="A416" s="75"/>
      <c r="B416" s="75"/>
      <c r="E416" s="72"/>
      <c r="M416" s="74"/>
      <c r="P416" s="75"/>
      <c r="Q416" s="75"/>
      <c r="S416" s="72"/>
    </row>
    <row r="417">
      <c r="A417" s="75"/>
      <c r="B417" s="75"/>
      <c r="E417" s="72"/>
      <c r="M417" s="74"/>
      <c r="P417" s="75"/>
      <c r="Q417" s="75"/>
      <c r="S417" s="72"/>
    </row>
    <row r="418">
      <c r="A418" s="75"/>
      <c r="B418" s="75"/>
      <c r="E418" s="72"/>
      <c r="M418" s="74"/>
      <c r="P418" s="75"/>
      <c r="Q418" s="75"/>
      <c r="S418" s="72"/>
    </row>
    <row r="419">
      <c r="A419" s="75"/>
      <c r="B419" s="75"/>
      <c r="E419" s="72"/>
      <c r="M419" s="74"/>
      <c r="P419" s="75"/>
      <c r="Q419" s="75"/>
      <c r="S419" s="72"/>
    </row>
    <row r="420">
      <c r="A420" s="75"/>
      <c r="B420" s="75"/>
      <c r="E420" s="72"/>
      <c r="M420" s="74"/>
      <c r="P420" s="75"/>
      <c r="Q420" s="75"/>
      <c r="S420" s="72"/>
    </row>
    <row r="421">
      <c r="A421" s="75"/>
      <c r="B421" s="75"/>
      <c r="E421" s="72"/>
      <c r="M421" s="74"/>
      <c r="P421" s="75"/>
      <c r="Q421" s="75"/>
      <c r="S421" s="72"/>
    </row>
    <row r="422">
      <c r="A422" s="75"/>
      <c r="B422" s="75"/>
      <c r="E422" s="72"/>
      <c r="M422" s="74"/>
      <c r="P422" s="75"/>
      <c r="Q422" s="75"/>
      <c r="S422" s="72"/>
    </row>
    <row r="423">
      <c r="A423" s="75"/>
      <c r="B423" s="75"/>
      <c r="E423" s="72"/>
      <c r="M423" s="74"/>
      <c r="P423" s="75"/>
      <c r="Q423" s="75"/>
      <c r="S423" s="72"/>
    </row>
    <row r="424">
      <c r="A424" s="75"/>
      <c r="B424" s="75"/>
      <c r="E424" s="72"/>
      <c r="M424" s="74"/>
      <c r="P424" s="75"/>
      <c r="Q424" s="75"/>
      <c r="S424" s="72"/>
    </row>
    <row r="425">
      <c r="A425" s="75"/>
      <c r="B425" s="75"/>
      <c r="E425" s="72"/>
      <c r="M425" s="74"/>
      <c r="P425" s="75"/>
      <c r="Q425" s="75"/>
      <c r="S425" s="72"/>
    </row>
    <row r="426">
      <c r="A426" s="75"/>
      <c r="B426" s="75"/>
      <c r="E426" s="72"/>
      <c r="M426" s="74"/>
      <c r="P426" s="75"/>
      <c r="Q426" s="75"/>
      <c r="S426" s="72"/>
    </row>
    <row r="427">
      <c r="A427" s="75"/>
      <c r="B427" s="75"/>
      <c r="E427" s="72"/>
      <c r="M427" s="74"/>
      <c r="P427" s="75"/>
      <c r="Q427" s="75"/>
      <c r="S427" s="72"/>
    </row>
    <row r="428">
      <c r="A428" s="75"/>
      <c r="B428" s="75"/>
      <c r="E428" s="72"/>
      <c r="M428" s="74"/>
      <c r="P428" s="75"/>
      <c r="Q428" s="75"/>
      <c r="S428" s="72"/>
    </row>
    <row r="429">
      <c r="A429" s="75"/>
      <c r="B429" s="75"/>
      <c r="E429" s="72"/>
      <c r="M429" s="74"/>
      <c r="P429" s="75"/>
      <c r="Q429" s="75"/>
      <c r="S429" s="72"/>
    </row>
    <row r="430">
      <c r="A430" s="75"/>
      <c r="B430" s="75"/>
      <c r="E430" s="72"/>
      <c r="M430" s="74"/>
      <c r="P430" s="75"/>
      <c r="Q430" s="75"/>
      <c r="S430" s="72"/>
    </row>
    <row r="431">
      <c r="A431" s="75"/>
      <c r="B431" s="75"/>
      <c r="E431" s="72"/>
      <c r="M431" s="74"/>
      <c r="P431" s="75"/>
      <c r="Q431" s="75"/>
      <c r="S431" s="72"/>
    </row>
    <row r="432">
      <c r="A432" s="75"/>
      <c r="B432" s="75"/>
      <c r="E432" s="72"/>
      <c r="M432" s="74"/>
      <c r="P432" s="75"/>
      <c r="Q432" s="75"/>
      <c r="S432" s="72"/>
    </row>
    <row r="433">
      <c r="A433" s="75"/>
      <c r="B433" s="75"/>
      <c r="E433" s="72"/>
      <c r="M433" s="74"/>
      <c r="P433" s="75"/>
      <c r="Q433" s="75"/>
      <c r="S433" s="72"/>
    </row>
    <row r="434">
      <c r="A434" s="75"/>
      <c r="B434" s="75"/>
      <c r="E434" s="72"/>
      <c r="M434" s="74"/>
      <c r="P434" s="75"/>
      <c r="Q434" s="75"/>
      <c r="S434" s="72"/>
    </row>
    <row r="435">
      <c r="A435" s="75"/>
      <c r="B435" s="75"/>
      <c r="E435" s="72"/>
      <c r="M435" s="74"/>
      <c r="P435" s="75"/>
      <c r="Q435" s="75"/>
      <c r="S435" s="72"/>
    </row>
    <row r="436">
      <c r="A436" s="75"/>
      <c r="B436" s="75"/>
      <c r="E436" s="72"/>
      <c r="M436" s="74"/>
      <c r="P436" s="75"/>
      <c r="Q436" s="75"/>
      <c r="S436" s="72"/>
    </row>
    <row r="437">
      <c r="A437" s="75"/>
      <c r="B437" s="75"/>
      <c r="E437" s="72"/>
      <c r="M437" s="74"/>
      <c r="P437" s="75"/>
      <c r="Q437" s="75"/>
      <c r="S437" s="72"/>
    </row>
    <row r="438">
      <c r="A438" s="75"/>
      <c r="B438" s="75"/>
      <c r="E438" s="72"/>
      <c r="M438" s="74"/>
      <c r="P438" s="75"/>
      <c r="Q438" s="75"/>
      <c r="S438" s="72"/>
    </row>
    <row r="439">
      <c r="A439" s="75"/>
      <c r="B439" s="75"/>
      <c r="E439" s="72"/>
      <c r="M439" s="74"/>
      <c r="P439" s="75"/>
      <c r="Q439" s="75"/>
      <c r="S439" s="72"/>
    </row>
    <row r="440">
      <c r="A440" s="75"/>
      <c r="B440" s="75"/>
      <c r="E440" s="72"/>
      <c r="M440" s="74"/>
      <c r="P440" s="75"/>
      <c r="Q440" s="75"/>
      <c r="S440" s="72"/>
    </row>
    <row r="441">
      <c r="A441" s="75"/>
      <c r="B441" s="75"/>
      <c r="E441" s="72"/>
      <c r="M441" s="74"/>
      <c r="P441" s="75"/>
      <c r="Q441" s="75"/>
      <c r="S441" s="72"/>
    </row>
    <row r="442">
      <c r="A442" s="75"/>
      <c r="B442" s="75"/>
      <c r="E442" s="72"/>
      <c r="M442" s="74"/>
      <c r="P442" s="75"/>
      <c r="Q442" s="75"/>
      <c r="S442" s="72"/>
    </row>
    <row r="443">
      <c r="A443" s="75"/>
      <c r="B443" s="75"/>
      <c r="E443" s="72"/>
      <c r="M443" s="74"/>
      <c r="P443" s="75"/>
      <c r="Q443" s="75"/>
      <c r="S443" s="72"/>
    </row>
    <row r="444">
      <c r="A444" s="75"/>
      <c r="B444" s="75"/>
      <c r="E444" s="72"/>
      <c r="M444" s="74"/>
      <c r="P444" s="75"/>
      <c r="Q444" s="75"/>
      <c r="S444" s="72"/>
    </row>
    <row r="445">
      <c r="A445" s="75"/>
      <c r="B445" s="75"/>
      <c r="E445" s="72"/>
      <c r="M445" s="74"/>
      <c r="P445" s="75"/>
      <c r="Q445" s="75"/>
      <c r="S445" s="72"/>
    </row>
    <row r="446">
      <c r="A446" s="75"/>
      <c r="B446" s="75"/>
      <c r="E446" s="72"/>
      <c r="M446" s="74"/>
      <c r="P446" s="75"/>
      <c r="Q446" s="75"/>
      <c r="S446" s="72"/>
    </row>
    <row r="447">
      <c r="A447" s="75"/>
      <c r="B447" s="75"/>
      <c r="E447" s="72"/>
      <c r="M447" s="74"/>
      <c r="P447" s="75"/>
      <c r="Q447" s="75"/>
      <c r="S447" s="72"/>
    </row>
    <row r="448">
      <c r="A448" s="75"/>
      <c r="B448" s="75"/>
      <c r="E448" s="72"/>
      <c r="M448" s="74"/>
      <c r="P448" s="75"/>
      <c r="Q448" s="75"/>
      <c r="S448" s="72"/>
    </row>
    <row r="449">
      <c r="A449" s="75"/>
      <c r="B449" s="75"/>
      <c r="E449" s="72"/>
      <c r="M449" s="74"/>
      <c r="P449" s="75"/>
      <c r="Q449" s="75"/>
      <c r="S449" s="72"/>
    </row>
    <row r="450">
      <c r="A450" s="75"/>
      <c r="B450" s="75"/>
      <c r="E450" s="72"/>
      <c r="M450" s="74"/>
      <c r="P450" s="75"/>
      <c r="Q450" s="75"/>
      <c r="S450" s="72"/>
    </row>
    <row r="451">
      <c r="A451" s="75"/>
      <c r="B451" s="75"/>
      <c r="E451" s="72"/>
      <c r="M451" s="74"/>
      <c r="P451" s="75"/>
      <c r="Q451" s="75"/>
      <c r="S451" s="72"/>
    </row>
    <row r="452">
      <c r="A452" s="75"/>
      <c r="B452" s="75"/>
      <c r="E452" s="72"/>
      <c r="M452" s="74"/>
      <c r="P452" s="75"/>
      <c r="Q452" s="75"/>
      <c r="S452" s="72"/>
    </row>
    <row r="453">
      <c r="A453" s="75"/>
      <c r="B453" s="75"/>
      <c r="E453" s="72"/>
      <c r="M453" s="74"/>
      <c r="P453" s="75"/>
      <c r="Q453" s="75"/>
      <c r="S453" s="72"/>
    </row>
    <row r="454">
      <c r="A454" s="75"/>
      <c r="B454" s="75"/>
      <c r="E454" s="72"/>
      <c r="M454" s="74"/>
      <c r="P454" s="75"/>
      <c r="Q454" s="75"/>
      <c r="S454" s="72"/>
    </row>
    <row r="455">
      <c r="A455" s="75"/>
      <c r="B455" s="75"/>
      <c r="E455" s="72"/>
      <c r="M455" s="74"/>
      <c r="P455" s="75"/>
      <c r="Q455" s="75"/>
      <c r="S455" s="72"/>
    </row>
    <row r="456">
      <c r="A456" s="75"/>
      <c r="B456" s="75"/>
      <c r="E456" s="72"/>
      <c r="M456" s="74"/>
      <c r="P456" s="75"/>
      <c r="Q456" s="75"/>
      <c r="S456" s="72"/>
    </row>
    <row r="457">
      <c r="A457" s="75"/>
      <c r="B457" s="75"/>
      <c r="E457" s="72"/>
      <c r="M457" s="74"/>
      <c r="P457" s="75"/>
      <c r="Q457" s="75"/>
      <c r="S457" s="72"/>
    </row>
    <row r="458">
      <c r="A458" s="75"/>
      <c r="B458" s="75"/>
      <c r="E458" s="72"/>
      <c r="M458" s="74"/>
      <c r="P458" s="75"/>
      <c r="Q458" s="75"/>
      <c r="S458" s="72"/>
    </row>
    <row r="459">
      <c r="A459" s="75"/>
      <c r="B459" s="75"/>
      <c r="E459" s="72"/>
      <c r="M459" s="74"/>
      <c r="P459" s="75"/>
      <c r="Q459" s="75"/>
      <c r="S459" s="72"/>
    </row>
    <row r="460">
      <c r="A460" s="75"/>
      <c r="B460" s="75"/>
      <c r="E460" s="72"/>
      <c r="M460" s="74"/>
      <c r="P460" s="75"/>
      <c r="Q460" s="75"/>
      <c r="S460" s="72"/>
    </row>
    <row r="461">
      <c r="A461" s="75"/>
      <c r="B461" s="75"/>
      <c r="E461" s="72"/>
      <c r="M461" s="74"/>
      <c r="P461" s="75"/>
      <c r="Q461" s="75"/>
      <c r="S461" s="72"/>
    </row>
    <row r="462">
      <c r="A462" s="75"/>
      <c r="B462" s="75"/>
      <c r="E462" s="72"/>
      <c r="M462" s="74"/>
      <c r="P462" s="75"/>
      <c r="Q462" s="75"/>
      <c r="S462" s="72"/>
    </row>
    <row r="463">
      <c r="A463" s="75"/>
      <c r="B463" s="75"/>
      <c r="E463" s="72"/>
      <c r="M463" s="74"/>
      <c r="P463" s="75"/>
      <c r="Q463" s="75"/>
      <c r="S463" s="72"/>
    </row>
    <row r="464">
      <c r="A464" s="75"/>
      <c r="B464" s="75"/>
      <c r="E464" s="72"/>
      <c r="M464" s="74"/>
      <c r="P464" s="75"/>
      <c r="Q464" s="75"/>
      <c r="S464" s="72"/>
    </row>
    <row r="465">
      <c r="A465" s="75"/>
      <c r="B465" s="75"/>
      <c r="E465" s="72"/>
      <c r="M465" s="74"/>
      <c r="P465" s="75"/>
      <c r="Q465" s="75"/>
      <c r="S465" s="72"/>
    </row>
    <row r="466">
      <c r="A466" s="75"/>
      <c r="B466" s="75"/>
      <c r="E466" s="72"/>
      <c r="M466" s="74"/>
      <c r="P466" s="75"/>
      <c r="Q466" s="75"/>
      <c r="S466" s="72"/>
    </row>
    <row r="467">
      <c r="A467" s="75"/>
      <c r="B467" s="75"/>
      <c r="E467" s="72"/>
      <c r="M467" s="74"/>
      <c r="P467" s="75"/>
      <c r="Q467" s="75"/>
      <c r="S467" s="72"/>
    </row>
    <row r="468">
      <c r="A468" s="75"/>
      <c r="B468" s="75"/>
      <c r="E468" s="72"/>
      <c r="M468" s="74"/>
      <c r="P468" s="75"/>
      <c r="Q468" s="75"/>
      <c r="S468" s="72"/>
    </row>
    <row r="469">
      <c r="A469" s="75"/>
      <c r="B469" s="75"/>
      <c r="E469" s="72"/>
      <c r="M469" s="74"/>
      <c r="P469" s="75"/>
      <c r="Q469" s="75"/>
      <c r="S469" s="72"/>
    </row>
    <row r="470">
      <c r="A470" s="75"/>
      <c r="B470" s="75"/>
      <c r="E470" s="72"/>
      <c r="M470" s="74"/>
      <c r="P470" s="75"/>
      <c r="Q470" s="75"/>
      <c r="S470" s="72"/>
    </row>
    <row r="471">
      <c r="A471" s="75"/>
      <c r="B471" s="75"/>
      <c r="E471" s="72"/>
      <c r="M471" s="74"/>
      <c r="P471" s="75"/>
      <c r="Q471" s="75"/>
      <c r="S471" s="72"/>
    </row>
    <row r="472">
      <c r="A472" s="75"/>
      <c r="B472" s="75"/>
      <c r="E472" s="72"/>
      <c r="M472" s="74"/>
      <c r="P472" s="75"/>
      <c r="Q472" s="75"/>
      <c r="S472" s="72"/>
    </row>
    <row r="473">
      <c r="A473" s="75"/>
      <c r="B473" s="75"/>
      <c r="E473" s="72"/>
      <c r="M473" s="74"/>
      <c r="P473" s="75"/>
      <c r="Q473" s="75"/>
      <c r="S473" s="72"/>
    </row>
    <row r="474">
      <c r="A474" s="75"/>
      <c r="B474" s="75"/>
      <c r="E474" s="72"/>
      <c r="M474" s="74"/>
      <c r="P474" s="75"/>
      <c r="Q474" s="75"/>
      <c r="S474" s="72"/>
    </row>
    <row r="475">
      <c r="A475" s="75"/>
      <c r="B475" s="75"/>
      <c r="E475" s="72"/>
      <c r="M475" s="74"/>
      <c r="P475" s="75"/>
      <c r="Q475" s="75"/>
      <c r="S475" s="72"/>
    </row>
    <row r="476">
      <c r="A476" s="75"/>
      <c r="B476" s="75"/>
      <c r="E476" s="72"/>
      <c r="M476" s="74"/>
      <c r="P476" s="75"/>
      <c r="Q476" s="75"/>
      <c r="S476" s="72"/>
    </row>
    <row r="477">
      <c r="A477" s="75"/>
      <c r="B477" s="75"/>
      <c r="E477" s="72"/>
      <c r="M477" s="74"/>
      <c r="P477" s="75"/>
      <c r="Q477" s="75"/>
      <c r="S477" s="72"/>
    </row>
    <row r="478">
      <c r="A478" s="75"/>
      <c r="B478" s="75"/>
      <c r="E478" s="72"/>
      <c r="M478" s="74"/>
      <c r="P478" s="75"/>
      <c r="Q478" s="75"/>
      <c r="S478" s="72"/>
    </row>
    <row r="479">
      <c r="A479" s="75"/>
      <c r="B479" s="75"/>
      <c r="E479" s="72"/>
      <c r="M479" s="74"/>
      <c r="P479" s="75"/>
      <c r="Q479" s="75"/>
      <c r="S479" s="72"/>
    </row>
    <row r="480">
      <c r="A480" s="75"/>
      <c r="B480" s="75"/>
      <c r="E480" s="72"/>
      <c r="M480" s="74"/>
      <c r="P480" s="75"/>
      <c r="Q480" s="75"/>
      <c r="S480" s="72"/>
    </row>
    <row r="481">
      <c r="A481" s="75"/>
      <c r="B481" s="75"/>
      <c r="E481" s="72"/>
      <c r="M481" s="74"/>
      <c r="P481" s="75"/>
      <c r="Q481" s="75"/>
      <c r="S481" s="72"/>
    </row>
    <row r="482">
      <c r="A482" s="75"/>
      <c r="B482" s="75"/>
      <c r="E482" s="72"/>
      <c r="M482" s="74"/>
      <c r="P482" s="75"/>
      <c r="Q482" s="75"/>
      <c r="S482" s="72"/>
    </row>
    <row r="483">
      <c r="A483" s="75"/>
      <c r="B483" s="75"/>
      <c r="E483" s="72"/>
      <c r="M483" s="74"/>
      <c r="P483" s="75"/>
      <c r="Q483" s="75"/>
      <c r="S483" s="72"/>
    </row>
    <row r="484">
      <c r="A484" s="75"/>
      <c r="B484" s="75"/>
      <c r="E484" s="72"/>
      <c r="M484" s="74"/>
      <c r="P484" s="75"/>
      <c r="Q484" s="75"/>
      <c r="S484" s="72"/>
    </row>
    <row r="485">
      <c r="A485" s="75"/>
      <c r="B485" s="75"/>
      <c r="E485" s="72"/>
      <c r="M485" s="74"/>
      <c r="P485" s="75"/>
      <c r="Q485" s="75"/>
      <c r="S485" s="72"/>
    </row>
    <row r="486">
      <c r="A486" s="75"/>
      <c r="B486" s="75"/>
      <c r="E486" s="72"/>
      <c r="M486" s="74"/>
      <c r="P486" s="75"/>
      <c r="Q486" s="75"/>
      <c r="S486" s="72"/>
    </row>
    <row r="487">
      <c r="A487" s="75"/>
      <c r="B487" s="75"/>
      <c r="E487" s="72"/>
      <c r="M487" s="74"/>
      <c r="P487" s="75"/>
      <c r="Q487" s="75"/>
      <c r="S487" s="72"/>
    </row>
    <row r="488">
      <c r="A488" s="75"/>
      <c r="B488" s="75"/>
      <c r="E488" s="72"/>
      <c r="M488" s="74"/>
      <c r="P488" s="75"/>
      <c r="Q488" s="75"/>
      <c r="S488" s="72"/>
    </row>
    <row r="489">
      <c r="A489" s="75"/>
      <c r="B489" s="75"/>
      <c r="E489" s="72"/>
      <c r="M489" s="74"/>
      <c r="P489" s="75"/>
      <c r="Q489" s="75"/>
      <c r="S489" s="72"/>
    </row>
    <row r="490">
      <c r="A490" s="75"/>
      <c r="B490" s="75"/>
      <c r="E490" s="72"/>
      <c r="M490" s="74"/>
      <c r="P490" s="75"/>
      <c r="Q490" s="75"/>
      <c r="S490" s="72"/>
    </row>
    <row r="491">
      <c r="A491" s="75"/>
      <c r="B491" s="75"/>
      <c r="E491" s="72"/>
      <c r="M491" s="74"/>
      <c r="P491" s="75"/>
      <c r="Q491" s="75"/>
      <c r="S491" s="72"/>
    </row>
    <row r="492">
      <c r="A492" s="75"/>
      <c r="B492" s="75"/>
      <c r="E492" s="72"/>
      <c r="M492" s="74"/>
      <c r="P492" s="75"/>
      <c r="Q492" s="75"/>
      <c r="S492" s="72"/>
    </row>
    <row r="493">
      <c r="A493" s="75"/>
      <c r="B493" s="75"/>
      <c r="E493" s="72"/>
      <c r="M493" s="74"/>
      <c r="P493" s="75"/>
      <c r="Q493" s="75"/>
      <c r="S493" s="72"/>
    </row>
    <row r="494">
      <c r="A494" s="75"/>
      <c r="B494" s="75"/>
      <c r="E494" s="72"/>
      <c r="M494" s="74"/>
      <c r="P494" s="75"/>
      <c r="Q494" s="75"/>
      <c r="S494" s="72"/>
    </row>
    <row r="495">
      <c r="A495" s="75"/>
      <c r="B495" s="75"/>
      <c r="E495" s="72"/>
      <c r="M495" s="74"/>
      <c r="P495" s="75"/>
      <c r="Q495" s="75"/>
      <c r="S495" s="72"/>
    </row>
    <row r="496">
      <c r="A496" s="75"/>
      <c r="B496" s="75"/>
      <c r="E496" s="72"/>
      <c r="M496" s="74"/>
      <c r="P496" s="75"/>
      <c r="Q496" s="75"/>
      <c r="S496" s="72"/>
    </row>
    <row r="497">
      <c r="A497" s="75"/>
      <c r="B497" s="75"/>
      <c r="E497" s="72"/>
      <c r="M497" s="74"/>
      <c r="P497" s="75"/>
      <c r="Q497" s="75"/>
      <c r="S497" s="72"/>
    </row>
    <row r="498">
      <c r="A498" s="75"/>
      <c r="B498" s="75"/>
      <c r="E498" s="72"/>
      <c r="M498" s="74"/>
      <c r="P498" s="75"/>
      <c r="Q498" s="75"/>
      <c r="S498" s="72"/>
    </row>
    <row r="499">
      <c r="A499" s="75"/>
      <c r="B499" s="75"/>
      <c r="E499" s="72"/>
      <c r="M499" s="74"/>
      <c r="P499" s="75"/>
      <c r="Q499" s="75"/>
      <c r="S499" s="72"/>
    </row>
    <row r="500">
      <c r="A500" s="75"/>
      <c r="B500" s="75"/>
      <c r="E500" s="72"/>
      <c r="M500" s="74"/>
      <c r="P500" s="75"/>
      <c r="Q500" s="75"/>
      <c r="S500" s="72"/>
    </row>
    <row r="501">
      <c r="A501" s="75"/>
      <c r="B501" s="75"/>
      <c r="E501" s="72"/>
      <c r="M501" s="74"/>
      <c r="P501" s="75"/>
      <c r="Q501" s="75"/>
      <c r="S501" s="72"/>
    </row>
    <row r="502">
      <c r="A502" s="75"/>
      <c r="B502" s="75"/>
      <c r="E502" s="72"/>
      <c r="M502" s="74"/>
      <c r="P502" s="75"/>
      <c r="Q502" s="75"/>
      <c r="S502" s="72"/>
    </row>
    <row r="503">
      <c r="A503" s="75"/>
      <c r="B503" s="75"/>
      <c r="E503" s="72"/>
      <c r="M503" s="74"/>
      <c r="P503" s="75"/>
      <c r="Q503" s="75"/>
      <c r="S503" s="72"/>
    </row>
    <row r="504">
      <c r="A504" s="75"/>
      <c r="B504" s="75"/>
      <c r="E504" s="72"/>
      <c r="M504" s="74"/>
      <c r="P504" s="75"/>
      <c r="Q504" s="75"/>
      <c r="S504" s="72"/>
    </row>
    <row r="505">
      <c r="A505" s="75"/>
      <c r="B505" s="75"/>
      <c r="E505" s="72"/>
      <c r="M505" s="74"/>
      <c r="P505" s="75"/>
      <c r="Q505" s="75"/>
      <c r="S505" s="72"/>
    </row>
    <row r="506">
      <c r="A506" s="75"/>
      <c r="B506" s="75"/>
      <c r="E506" s="72"/>
      <c r="M506" s="74"/>
      <c r="P506" s="75"/>
      <c r="Q506" s="75"/>
      <c r="S506" s="72"/>
    </row>
    <row r="507">
      <c r="A507" s="75"/>
      <c r="B507" s="75"/>
      <c r="E507" s="72"/>
      <c r="M507" s="74"/>
      <c r="P507" s="75"/>
      <c r="Q507" s="75"/>
      <c r="S507" s="72"/>
    </row>
    <row r="508">
      <c r="A508" s="75"/>
      <c r="B508" s="75"/>
      <c r="E508" s="72"/>
      <c r="M508" s="74"/>
      <c r="P508" s="75"/>
      <c r="Q508" s="75"/>
      <c r="S508" s="72"/>
    </row>
    <row r="509">
      <c r="A509" s="75"/>
      <c r="B509" s="75"/>
      <c r="E509" s="72"/>
      <c r="M509" s="74"/>
      <c r="P509" s="75"/>
      <c r="Q509" s="75"/>
      <c r="S509" s="72"/>
    </row>
    <row r="510">
      <c r="A510" s="75"/>
      <c r="B510" s="75"/>
      <c r="E510" s="72"/>
      <c r="M510" s="74"/>
      <c r="P510" s="75"/>
      <c r="Q510" s="75"/>
      <c r="S510" s="72"/>
    </row>
    <row r="511">
      <c r="A511" s="75"/>
      <c r="B511" s="75"/>
      <c r="E511" s="72"/>
      <c r="M511" s="74"/>
      <c r="P511" s="75"/>
      <c r="Q511" s="75"/>
      <c r="S511" s="72"/>
    </row>
    <row r="512">
      <c r="A512" s="75"/>
      <c r="B512" s="75"/>
      <c r="E512" s="72"/>
      <c r="M512" s="74"/>
      <c r="P512" s="75"/>
      <c r="Q512" s="75"/>
      <c r="S512" s="72"/>
    </row>
    <row r="513">
      <c r="A513" s="75"/>
      <c r="B513" s="75"/>
      <c r="E513" s="72"/>
      <c r="M513" s="74"/>
      <c r="P513" s="75"/>
      <c r="Q513" s="75"/>
      <c r="S513" s="72"/>
    </row>
    <row r="514">
      <c r="A514" s="75"/>
      <c r="B514" s="75"/>
      <c r="E514" s="72"/>
      <c r="M514" s="74"/>
      <c r="P514" s="75"/>
      <c r="Q514" s="75"/>
      <c r="S514" s="72"/>
    </row>
    <row r="515">
      <c r="A515" s="75"/>
      <c r="B515" s="75"/>
      <c r="E515" s="72"/>
      <c r="M515" s="74"/>
      <c r="P515" s="75"/>
      <c r="Q515" s="75"/>
      <c r="S515" s="72"/>
    </row>
    <row r="516">
      <c r="A516" s="75"/>
      <c r="B516" s="75"/>
      <c r="E516" s="72"/>
      <c r="M516" s="74"/>
      <c r="P516" s="75"/>
      <c r="Q516" s="75"/>
      <c r="S516" s="72"/>
    </row>
    <row r="517">
      <c r="A517" s="75"/>
      <c r="B517" s="75"/>
      <c r="E517" s="72"/>
      <c r="M517" s="74"/>
      <c r="P517" s="75"/>
      <c r="Q517" s="75"/>
      <c r="S517" s="72"/>
    </row>
    <row r="518">
      <c r="A518" s="75"/>
      <c r="B518" s="75"/>
      <c r="E518" s="72"/>
      <c r="M518" s="74"/>
      <c r="P518" s="75"/>
      <c r="Q518" s="75"/>
      <c r="S518" s="72"/>
    </row>
    <row r="519">
      <c r="A519" s="75"/>
      <c r="B519" s="75"/>
      <c r="E519" s="72"/>
      <c r="M519" s="74"/>
      <c r="P519" s="75"/>
      <c r="Q519" s="75"/>
      <c r="S519" s="72"/>
    </row>
    <row r="520">
      <c r="A520" s="75"/>
      <c r="B520" s="75"/>
      <c r="E520" s="72"/>
      <c r="M520" s="74"/>
      <c r="P520" s="75"/>
      <c r="Q520" s="75"/>
      <c r="S520" s="72"/>
    </row>
    <row r="521">
      <c r="A521" s="75"/>
      <c r="B521" s="75"/>
      <c r="E521" s="72"/>
      <c r="M521" s="74"/>
      <c r="P521" s="75"/>
      <c r="Q521" s="75"/>
      <c r="S521" s="72"/>
    </row>
    <row r="522">
      <c r="A522" s="75"/>
      <c r="B522" s="75"/>
      <c r="E522" s="72"/>
      <c r="M522" s="74"/>
      <c r="P522" s="75"/>
      <c r="Q522" s="75"/>
      <c r="S522" s="72"/>
    </row>
    <row r="523">
      <c r="A523" s="75"/>
      <c r="B523" s="75"/>
      <c r="E523" s="72"/>
      <c r="M523" s="74"/>
      <c r="P523" s="75"/>
      <c r="Q523" s="75"/>
      <c r="S523" s="72"/>
    </row>
    <row r="524">
      <c r="A524" s="75"/>
      <c r="B524" s="75"/>
      <c r="E524" s="72"/>
      <c r="M524" s="74"/>
      <c r="P524" s="75"/>
      <c r="Q524" s="75"/>
      <c r="S524" s="72"/>
    </row>
    <row r="525">
      <c r="A525" s="75"/>
      <c r="B525" s="75"/>
      <c r="E525" s="72"/>
      <c r="M525" s="74"/>
      <c r="P525" s="75"/>
      <c r="Q525" s="75"/>
      <c r="S525" s="72"/>
    </row>
    <row r="526">
      <c r="A526" s="75"/>
      <c r="B526" s="75"/>
      <c r="E526" s="72"/>
      <c r="M526" s="74"/>
      <c r="P526" s="75"/>
      <c r="Q526" s="75"/>
      <c r="S526" s="72"/>
    </row>
    <row r="527">
      <c r="A527" s="75"/>
      <c r="B527" s="75"/>
      <c r="E527" s="72"/>
      <c r="M527" s="74"/>
      <c r="P527" s="75"/>
      <c r="Q527" s="75"/>
      <c r="S527" s="72"/>
    </row>
    <row r="528">
      <c r="A528" s="75"/>
      <c r="B528" s="75"/>
      <c r="E528" s="72"/>
      <c r="M528" s="74"/>
      <c r="P528" s="75"/>
      <c r="Q528" s="75"/>
      <c r="S528" s="72"/>
    </row>
    <row r="529">
      <c r="A529" s="75"/>
      <c r="B529" s="75"/>
      <c r="E529" s="72"/>
      <c r="M529" s="74"/>
      <c r="P529" s="75"/>
      <c r="Q529" s="75"/>
      <c r="S529" s="72"/>
    </row>
    <row r="530">
      <c r="A530" s="75"/>
      <c r="B530" s="75"/>
      <c r="E530" s="72"/>
      <c r="M530" s="74"/>
      <c r="P530" s="75"/>
      <c r="Q530" s="75"/>
      <c r="S530" s="72"/>
    </row>
    <row r="531">
      <c r="A531" s="75"/>
      <c r="B531" s="75"/>
      <c r="E531" s="72"/>
      <c r="M531" s="74"/>
      <c r="P531" s="75"/>
      <c r="Q531" s="75"/>
      <c r="S531" s="72"/>
    </row>
    <row r="532">
      <c r="A532" s="75"/>
      <c r="B532" s="75"/>
      <c r="E532" s="72"/>
      <c r="M532" s="74"/>
      <c r="P532" s="75"/>
      <c r="Q532" s="75"/>
      <c r="S532" s="72"/>
    </row>
    <row r="533">
      <c r="A533" s="75"/>
      <c r="B533" s="75"/>
      <c r="E533" s="72"/>
      <c r="M533" s="74"/>
      <c r="P533" s="75"/>
      <c r="Q533" s="75"/>
      <c r="S533" s="72"/>
    </row>
    <row r="534">
      <c r="A534" s="75"/>
      <c r="B534" s="75"/>
      <c r="E534" s="72"/>
      <c r="M534" s="74"/>
      <c r="P534" s="75"/>
      <c r="Q534" s="75"/>
      <c r="S534" s="72"/>
    </row>
    <row r="535">
      <c r="A535" s="75"/>
      <c r="B535" s="75"/>
      <c r="E535" s="72"/>
      <c r="M535" s="74"/>
      <c r="P535" s="75"/>
      <c r="Q535" s="75"/>
      <c r="S535" s="72"/>
    </row>
    <row r="536">
      <c r="A536" s="75"/>
      <c r="B536" s="75"/>
      <c r="E536" s="72"/>
      <c r="M536" s="74"/>
      <c r="P536" s="75"/>
      <c r="Q536" s="75"/>
      <c r="S536" s="72"/>
    </row>
    <row r="537">
      <c r="A537" s="75"/>
      <c r="B537" s="75"/>
      <c r="E537" s="72"/>
      <c r="M537" s="74"/>
      <c r="P537" s="75"/>
      <c r="Q537" s="75"/>
      <c r="S537" s="72"/>
    </row>
    <row r="538">
      <c r="A538" s="75"/>
      <c r="B538" s="75"/>
      <c r="E538" s="72"/>
      <c r="M538" s="74"/>
      <c r="P538" s="75"/>
      <c r="Q538" s="75"/>
      <c r="S538" s="72"/>
    </row>
    <row r="539">
      <c r="A539" s="75"/>
      <c r="B539" s="75"/>
      <c r="E539" s="72"/>
      <c r="M539" s="74"/>
      <c r="P539" s="75"/>
      <c r="Q539" s="75"/>
      <c r="S539" s="72"/>
    </row>
    <row r="540">
      <c r="A540" s="75"/>
      <c r="B540" s="75"/>
      <c r="E540" s="72"/>
      <c r="M540" s="74"/>
      <c r="P540" s="75"/>
      <c r="Q540" s="75"/>
      <c r="S540" s="72"/>
    </row>
    <row r="541">
      <c r="A541" s="75"/>
      <c r="B541" s="75"/>
      <c r="E541" s="72"/>
      <c r="M541" s="74"/>
      <c r="P541" s="75"/>
      <c r="Q541" s="75"/>
      <c r="S541" s="72"/>
    </row>
    <row r="542">
      <c r="A542" s="75"/>
      <c r="B542" s="75"/>
      <c r="E542" s="72"/>
      <c r="M542" s="74"/>
      <c r="P542" s="75"/>
      <c r="Q542" s="75"/>
      <c r="S542" s="72"/>
    </row>
    <row r="543">
      <c r="A543" s="75"/>
      <c r="B543" s="75"/>
      <c r="E543" s="72"/>
      <c r="M543" s="74"/>
      <c r="P543" s="75"/>
      <c r="Q543" s="75"/>
      <c r="S543" s="72"/>
    </row>
    <row r="544">
      <c r="A544" s="75"/>
      <c r="B544" s="75"/>
      <c r="E544" s="72"/>
      <c r="M544" s="74"/>
      <c r="P544" s="75"/>
      <c r="Q544" s="75"/>
      <c r="S544" s="72"/>
    </row>
    <row r="545">
      <c r="A545" s="75"/>
      <c r="B545" s="75"/>
      <c r="E545" s="72"/>
      <c r="M545" s="74"/>
      <c r="P545" s="75"/>
      <c r="Q545" s="75"/>
      <c r="S545" s="72"/>
    </row>
    <row r="546">
      <c r="A546" s="75"/>
      <c r="B546" s="75"/>
      <c r="E546" s="72"/>
      <c r="M546" s="74"/>
      <c r="P546" s="75"/>
      <c r="Q546" s="75"/>
      <c r="S546" s="72"/>
    </row>
    <row r="547">
      <c r="A547" s="75"/>
      <c r="B547" s="75"/>
      <c r="E547" s="72"/>
      <c r="M547" s="74"/>
      <c r="P547" s="75"/>
      <c r="Q547" s="75"/>
      <c r="S547" s="72"/>
    </row>
    <row r="548">
      <c r="A548" s="75"/>
      <c r="B548" s="75"/>
      <c r="E548" s="72"/>
      <c r="M548" s="74"/>
      <c r="P548" s="75"/>
      <c r="Q548" s="75"/>
      <c r="S548" s="72"/>
    </row>
    <row r="549">
      <c r="A549" s="75"/>
      <c r="B549" s="75"/>
      <c r="E549" s="72"/>
      <c r="M549" s="74"/>
      <c r="P549" s="75"/>
      <c r="Q549" s="75"/>
      <c r="S549" s="72"/>
    </row>
    <row r="550">
      <c r="A550" s="75"/>
      <c r="B550" s="75"/>
      <c r="E550" s="72"/>
      <c r="M550" s="74"/>
      <c r="P550" s="75"/>
      <c r="Q550" s="75"/>
      <c r="S550" s="72"/>
    </row>
    <row r="551">
      <c r="A551" s="75"/>
      <c r="B551" s="75"/>
      <c r="E551" s="72"/>
      <c r="M551" s="74"/>
      <c r="P551" s="75"/>
      <c r="Q551" s="75"/>
      <c r="S551" s="72"/>
    </row>
    <row r="552">
      <c r="A552" s="75"/>
      <c r="B552" s="75"/>
      <c r="E552" s="72"/>
      <c r="M552" s="74"/>
      <c r="P552" s="75"/>
      <c r="Q552" s="75"/>
      <c r="S552" s="72"/>
    </row>
    <row r="553">
      <c r="A553" s="75"/>
      <c r="B553" s="75"/>
      <c r="E553" s="72"/>
      <c r="M553" s="74"/>
      <c r="P553" s="75"/>
      <c r="Q553" s="75"/>
      <c r="S553" s="72"/>
    </row>
    <row r="554">
      <c r="A554" s="75"/>
      <c r="B554" s="75"/>
      <c r="E554" s="72"/>
      <c r="M554" s="74"/>
      <c r="P554" s="75"/>
      <c r="Q554" s="75"/>
      <c r="S554" s="72"/>
    </row>
    <row r="555">
      <c r="A555" s="75"/>
      <c r="B555" s="75"/>
      <c r="E555" s="72"/>
      <c r="M555" s="74"/>
      <c r="P555" s="75"/>
      <c r="Q555" s="75"/>
      <c r="S555" s="72"/>
    </row>
    <row r="556">
      <c r="A556" s="75"/>
      <c r="B556" s="75"/>
      <c r="E556" s="72"/>
      <c r="M556" s="74"/>
      <c r="P556" s="75"/>
      <c r="Q556" s="75"/>
      <c r="S556" s="72"/>
    </row>
    <row r="557">
      <c r="A557" s="75"/>
      <c r="B557" s="75"/>
      <c r="E557" s="72"/>
      <c r="M557" s="74"/>
      <c r="P557" s="75"/>
      <c r="Q557" s="75"/>
      <c r="S557" s="72"/>
    </row>
    <row r="558">
      <c r="A558" s="75"/>
      <c r="B558" s="75"/>
      <c r="E558" s="72"/>
      <c r="M558" s="74"/>
      <c r="P558" s="75"/>
      <c r="Q558" s="75"/>
      <c r="S558" s="72"/>
    </row>
    <row r="559">
      <c r="A559" s="75"/>
      <c r="B559" s="75"/>
      <c r="E559" s="72"/>
      <c r="M559" s="74"/>
      <c r="P559" s="75"/>
      <c r="Q559" s="75"/>
      <c r="S559" s="72"/>
    </row>
    <row r="560">
      <c r="A560" s="75"/>
      <c r="B560" s="75"/>
      <c r="E560" s="72"/>
      <c r="M560" s="74"/>
      <c r="P560" s="75"/>
      <c r="Q560" s="75"/>
      <c r="S560" s="72"/>
    </row>
    <row r="561">
      <c r="A561" s="75"/>
      <c r="B561" s="75"/>
      <c r="E561" s="72"/>
      <c r="M561" s="74"/>
      <c r="P561" s="75"/>
      <c r="Q561" s="75"/>
      <c r="S561" s="72"/>
    </row>
    <row r="562">
      <c r="A562" s="75"/>
      <c r="B562" s="75"/>
      <c r="E562" s="72"/>
      <c r="M562" s="74"/>
      <c r="P562" s="75"/>
      <c r="Q562" s="75"/>
      <c r="S562" s="72"/>
    </row>
    <row r="563">
      <c r="A563" s="75"/>
      <c r="B563" s="75"/>
      <c r="E563" s="72"/>
      <c r="M563" s="74"/>
      <c r="P563" s="75"/>
      <c r="Q563" s="75"/>
      <c r="S563" s="72"/>
    </row>
    <row r="564">
      <c r="A564" s="75"/>
      <c r="B564" s="75"/>
      <c r="E564" s="72"/>
      <c r="M564" s="74"/>
      <c r="P564" s="75"/>
      <c r="Q564" s="75"/>
      <c r="S564" s="72"/>
    </row>
    <row r="565">
      <c r="A565" s="75"/>
      <c r="B565" s="75"/>
      <c r="E565" s="72"/>
      <c r="M565" s="74"/>
      <c r="P565" s="75"/>
      <c r="Q565" s="75"/>
      <c r="S565" s="72"/>
    </row>
    <row r="566">
      <c r="A566" s="75"/>
      <c r="B566" s="75"/>
      <c r="E566" s="72"/>
      <c r="M566" s="74"/>
      <c r="P566" s="75"/>
      <c r="Q566" s="75"/>
      <c r="S566" s="72"/>
    </row>
    <row r="567">
      <c r="A567" s="75"/>
      <c r="B567" s="75"/>
      <c r="E567" s="72"/>
      <c r="M567" s="74"/>
      <c r="P567" s="75"/>
      <c r="Q567" s="75"/>
      <c r="S567" s="72"/>
    </row>
    <row r="568">
      <c r="A568" s="75"/>
      <c r="B568" s="75"/>
      <c r="E568" s="72"/>
      <c r="M568" s="74"/>
      <c r="P568" s="75"/>
      <c r="Q568" s="75"/>
      <c r="S568" s="72"/>
    </row>
    <row r="569">
      <c r="A569" s="75"/>
      <c r="B569" s="75"/>
      <c r="E569" s="72"/>
      <c r="M569" s="74"/>
      <c r="P569" s="75"/>
      <c r="Q569" s="75"/>
      <c r="S569" s="72"/>
    </row>
    <row r="570">
      <c r="A570" s="75"/>
      <c r="B570" s="75"/>
      <c r="E570" s="72"/>
      <c r="M570" s="74"/>
      <c r="P570" s="75"/>
      <c r="Q570" s="75"/>
      <c r="S570" s="72"/>
    </row>
    <row r="571">
      <c r="A571" s="75"/>
      <c r="B571" s="75"/>
      <c r="E571" s="72"/>
      <c r="M571" s="74"/>
      <c r="P571" s="75"/>
      <c r="Q571" s="75"/>
      <c r="S571" s="72"/>
    </row>
    <row r="572">
      <c r="A572" s="75"/>
      <c r="B572" s="75"/>
      <c r="E572" s="72"/>
      <c r="M572" s="74"/>
      <c r="P572" s="75"/>
      <c r="Q572" s="75"/>
      <c r="S572" s="72"/>
    </row>
    <row r="573">
      <c r="A573" s="75"/>
      <c r="B573" s="75"/>
      <c r="E573" s="72"/>
      <c r="M573" s="74"/>
      <c r="P573" s="75"/>
      <c r="Q573" s="75"/>
      <c r="S573" s="72"/>
    </row>
    <row r="574">
      <c r="A574" s="75"/>
      <c r="B574" s="75"/>
      <c r="E574" s="72"/>
      <c r="M574" s="74"/>
      <c r="P574" s="75"/>
      <c r="Q574" s="75"/>
      <c r="S574" s="72"/>
    </row>
    <row r="575">
      <c r="A575" s="75"/>
      <c r="B575" s="75"/>
      <c r="E575" s="72"/>
      <c r="M575" s="74"/>
      <c r="P575" s="75"/>
      <c r="Q575" s="75"/>
      <c r="S575" s="72"/>
    </row>
    <row r="576">
      <c r="A576" s="75"/>
      <c r="B576" s="75"/>
      <c r="E576" s="72"/>
      <c r="M576" s="74"/>
      <c r="P576" s="75"/>
      <c r="Q576" s="75"/>
      <c r="S576" s="72"/>
    </row>
    <row r="577">
      <c r="A577" s="75"/>
      <c r="B577" s="75"/>
      <c r="E577" s="72"/>
      <c r="M577" s="74"/>
      <c r="P577" s="75"/>
      <c r="Q577" s="75"/>
      <c r="S577" s="72"/>
    </row>
    <row r="578">
      <c r="A578" s="75"/>
      <c r="B578" s="75"/>
      <c r="E578" s="72"/>
      <c r="M578" s="74"/>
      <c r="P578" s="75"/>
      <c r="Q578" s="75"/>
      <c r="S578" s="72"/>
    </row>
    <row r="579">
      <c r="A579" s="75"/>
      <c r="B579" s="75"/>
      <c r="E579" s="72"/>
      <c r="M579" s="74"/>
      <c r="P579" s="75"/>
      <c r="Q579" s="75"/>
      <c r="S579" s="72"/>
    </row>
    <row r="580">
      <c r="A580" s="75"/>
      <c r="B580" s="75"/>
      <c r="E580" s="72"/>
      <c r="M580" s="74"/>
      <c r="P580" s="75"/>
      <c r="Q580" s="75"/>
      <c r="S580" s="72"/>
    </row>
    <row r="581">
      <c r="A581" s="75"/>
      <c r="B581" s="75"/>
      <c r="E581" s="72"/>
      <c r="M581" s="74"/>
      <c r="P581" s="75"/>
      <c r="Q581" s="75"/>
      <c r="S581" s="72"/>
    </row>
    <row r="582">
      <c r="A582" s="75"/>
      <c r="B582" s="75"/>
      <c r="E582" s="72"/>
      <c r="M582" s="74"/>
      <c r="P582" s="75"/>
      <c r="Q582" s="75"/>
      <c r="S582" s="72"/>
    </row>
    <row r="583">
      <c r="A583" s="75"/>
      <c r="B583" s="75"/>
      <c r="E583" s="72"/>
      <c r="M583" s="74"/>
      <c r="P583" s="75"/>
      <c r="Q583" s="75"/>
      <c r="S583" s="72"/>
    </row>
    <row r="584">
      <c r="A584" s="75"/>
      <c r="B584" s="75"/>
      <c r="E584" s="72"/>
      <c r="M584" s="74"/>
      <c r="P584" s="75"/>
      <c r="Q584" s="75"/>
      <c r="S584" s="72"/>
    </row>
    <row r="585">
      <c r="A585" s="75"/>
      <c r="B585" s="75"/>
      <c r="E585" s="72"/>
      <c r="M585" s="74"/>
      <c r="P585" s="75"/>
      <c r="Q585" s="75"/>
      <c r="S585" s="72"/>
    </row>
    <row r="586">
      <c r="A586" s="75"/>
      <c r="B586" s="75"/>
      <c r="E586" s="72"/>
      <c r="M586" s="74"/>
      <c r="P586" s="75"/>
      <c r="Q586" s="75"/>
      <c r="S586" s="72"/>
    </row>
    <row r="587">
      <c r="A587" s="75"/>
      <c r="B587" s="75"/>
      <c r="E587" s="72"/>
      <c r="M587" s="74"/>
      <c r="P587" s="75"/>
      <c r="Q587" s="75"/>
      <c r="S587" s="72"/>
    </row>
    <row r="588">
      <c r="A588" s="75"/>
      <c r="B588" s="75"/>
      <c r="E588" s="72"/>
      <c r="M588" s="74"/>
      <c r="P588" s="75"/>
      <c r="Q588" s="75"/>
      <c r="S588" s="72"/>
    </row>
    <row r="589">
      <c r="A589" s="75"/>
      <c r="B589" s="75"/>
      <c r="E589" s="72"/>
      <c r="M589" s="74"/>
      <c r="P589" s="75"/>
      <c r="Q589" s="75"/>
      <c r="S589" s="72"/>
    </row>
    <row r="590">
      <c r="A590" s="75"/>
      <c r="B590" s="75"/>
      <c r="E590" s="72"/>
      <c r="M590" s="74"/>
      <c r="P590" s="75"/>
      <c r="Q590" s="75"/>
      <c r="S590" s="72"/>
    </row>
    <row r="591">
      <c r="A591" s="75"/>
      <c r="B591" s="75"/>
      <c r="E591" s="72"/>
      <c r="M591" s="74"/>
      <c r="P591" s="75"/>
      <c r="Q591" s="75"/>
      <c r="S591" s="72"/>
    </row>
    <row r="592">
      <c r="A592" s="75"/>
      <c r="B592" s="75"/>
      <c r="E592" s="72"/>
      <c r="M592" s="74"/>
      <c r="P592" s="75"/>
      <c r="Q592" s="75"/>
      <c r="S592" s="72"/>
    </row>
    <row r="593">
      <c r="A593" s="75"/>
      <c r="B593" s="75"/>
      <c r="E593" s="72"/>
      <c r="M593" s="74"/>
      <c r="P593" s="75"/>
      <c r="Q593" s="75"/>
      <c r="S593" s="72"/>
    </row>
    <row r="594">
      <c r="A594" s="75"/>
      <c r="B594" s="75"/>
      <c r="E594" s="72"/>
      <c r="M594" s="74"/>
      <c r="P594" s="75"/>
      <c r="Q594" s="75"/>
      <c r="S594" s="72"/>
    </row>
    <row r="595">
      <c r="A595" s="75"/>
      <c r="B595" s="75"/>
      <c r="E595" s="72"/>
      <c r="M595" s="74"/>
      <c r="P595" s="75"/>
      <c r="Q595" s="75"/>
      <c r="S595" s="72"/>
    </row>
    <row r="596">
      <c r="A596" s="75"/>
      <c r="B596" s="75"/>
      <c r="E596" s="72"/>
      <c r="M596" s="74"/>
      <c r="P596" s="75"/>
      <c r="Q596" s="75"/>
      <c r="S596" s="72"/>
    </row>
    <row r="597">
      <c r="A597" s="75"/>
      <c r="B597" s="75"/>
      <c r="E597" s="72"/>
      <c r="M597" s="74"/>
      <c r="P597" s="75"/>
      <c r="Q597" s="75"/>
      <c r="S597" s="72"/>
    </row>
    <row r="598">
      <c r="A598" s="75"/>
      <c r="B598" s="75"/>
      <c r="E598" s="72"/>
      <c r="M598" s="74"/>
      <c r="P598" s="75"/>
      <c r="Q598" s="75"/>
      <c r="S598" s="72"/>
    </row>
    <row r="599">
      <c r="A599" s="75"/>
      <c r="B599" s="75"/>
      <c r="E599" s="72"/>
      <c r="M599" s="74"/>
      <c r="P599" s="75"/>
      <c r="Q599" s="75"/>
      <c r="S599" s="72"/>
    </row>
    <row r="600">
      <c r="A600" s="75"/>
      <c r="B600" s="75"/>
      <c r="E600" s="72"/>
      <c r="M600" s="74"/>
      <c r="P600" s="75"/>
      <c r="Q600" s="75"/>
      <c r="S600" s="72"/>
    </row>
    <row r="601">
      <c r="A601" s="75"/>
      <c r="B601" s="75"/>
      <c r="E601" s="72"/>
      <c r="M601" s="74"/>
      <c r="P601" s="75"/>
      <c r="Q601" s="75"/>
      <c r="S601" s="72"/>
    </row>
    <row r="602">
      <c r="A602" s="75"/>
      <c r="B602" s="75"/>
      <c r="E602" s="72"/>
      <c r="M602" s="74"/>
      <c r="P602" s="75"/>
      <c r="Q602" s="75"/>
      <c r="S602" s="72"/>
    </row>
    <row r="603">
      <c r="A603" s="75"/>
      <c r="B603" s="75"/>
      <c r="E603" s="72"/>
      <c r="M603" s="74"/>
      <c r="P603" s="75"/>
      <c r="Q603" s="75"/>
      <c r="S603" s="72"/>
    </row>
    <row r="604">
      <c r="A604" s="75"/>
      <c r="B604" s="75"/>
      <c r="E604" s="72"/>
      <c r="M604" s="74"/>
      <c r="P604" s="75"/>
      <c r="Q604" s="75"/>
      <c r="S604" s="72"/>
    </row>
    <row r="605">
      <c r="A605" s="75"/>
      <c r="B605" s="75"/>
      <c r="E605" s="72"/>
      <c r="M605" s="74"/>
      <c r="P605" s="75"/>
      <c r="Q605" s="75"/>
      <c r="S605" s="72"/>
    </row>
    <row r="606">
      <c r="A606" s="75"/>
      <c r="B606" s="75"/>
      <c r="E606" s="72"/>
      <c r="M606" s="74"/>
      <c r="P606" s="75"/>
      <c r="Q606" s="75"/>
      <c r="S606" s="72"/>
    </row>
    <row r="607">
      <c r="A607" s="75"/>
      <c r="B607" s="75"/>
      <c r="E607" s="72"/>
      <c r="M607" s="74"/>
      <c r="P607" s="75"/>
      <c r="Q607" s="75"/>
      <c r="S607" s="72"/>
    </row>
    <row r="608">
      <c r="A608" s="75"/>
      <c r="B608" s="75"/>
      <c r="E608" s="72"/>
      <c r="M608" s="74"/>
      <c r="P608" s="75"/>
      <c r="Q608" s="75"/>
      <c r="S608" s="72"/>
    </row>
    <row r="609">
      <c r="A609" s="75"/>
      <c r="B609" s="75"/>
      <c r="E609" s="72"/>
      <c r="M609" s="74"/>
      <c r="P609" s="75"/>
      <c r="Q609" s="75"/>
      <c r="S609" s="72"/>
    </row>
    <row r="610">
      <c r="A610" s="75"/>
      <c r="B610" s="75"/>
      <c r="E610" s="72"/>
      <c r="M610" s="74"/>
      <c r="P610" s="75"/>
      <c r="Q610" s="75"/>
      <c r="S610" s="72"/>
    </row>
    <row r="611">
      <c r="A611" s="75"/>
      <c r="B611" s="75"/>
      <c r="E611" s="72"/>
      <c r="M611" s="74"/>
      <c r="P611" s="75"/>
      <c r="Q611" s="75"/>
      <c r="S611" s="72"/>
    </row>
    <row r="612">
      <c r="A612" s="75"/>
      <c r="B612" s="75"/>
      <c r="E612" s="72"/>
      <c r="M612" s="74"/>
      <c r="P612" s="75"/>
      <c r="Q612" s="75"/>
      <c r="S612" s="72"/>
    </row>
    <row r="613">
      <c r="A613" s="75"/>
      <c r="B613" s="75"/>
      <c r="E613" s="72"/>
      <c r="M613" s="74"/>
      <c r="P613" s="75"/>
      <c r="Q613" s="75"/>
      <c r="S613" s="72"/>
    </row>
    <row r="614">
      <c r="A614" s="75"/>
      <c r="B614" s="75"/>
      <c r="E614" s="72"/>
      <c r="M614" s="74"/>
      <c r="P614" s="75"/>
      <c r="Q614" s="75"/>
      <c r="S614" s="72"/>
    </row>
    <row r="615">
      <c r="A615" s="75"/>
      <c r="B615" s="75"/>
      <c r="E615" s="72"/>
      <c r="M615" s="74"/>
      <c r="P615" s="75"/>
      <c r="Q615" s="75"/>
      <c r="S615" s="72"/>
    </row>
    <row r="616">
      <c r="A616" s="75"/>
      <c r="B616" s="75"/>
      <c r="E616" s="72"/>
      <c r="M616" s="74"/>
      <c r="P616" s="75"/>
      <c r="Q616" s="75"/>
      <c r="S616" s="72"/>
    </row>
    <row r="617">
      <c r="A617" s="75"/>
      <c r="B617" s="75"/>
      <c r="E617" s="72"/>
      <c r="M617" s="74"/>
      <c r="P617" s="75"/>
      <c r="Q617" s="75"/>
      <c r="S617" s="72"/>
    </row>
    <row r="618">
      <c r="A618" s="75"/>
      <c r="B618" s="75"/>
      <c r="E618" s="72"/>
      <c r="M618" s="74"/>
      <c r="P618" s="75"/>
      <c r="Q618" s="75"/>
      <c r="S618" s="72"/>
    </row>
    <row r="619">
      <c r="A619" s="75"/>
      <c r="B619" s="75"/>
      <c r="E619" s="72"/>
      <c r="M619" s="74"/>
      <c r="P619" s="75"/>
      <c r="Q619" s="75"/>
      <c r="S619" s="72"/>
    </row>
    <row r="620">
      <c r="A620" s="75"/>
      <c r="B620" s="75"/>
      <c r="E620" s="72"/>
      <c r="M620" s="74"/>
      <c r="P620" s="75"/>
      <c r="Q620" s="75"/>
      <c r="S620" s="72"/>
    </row>
    <row r="621">
      <c r="A621" s="75"/>
      <c r="B621" s="75"/>
      <c r="E621" s="72"/>
      <c r="M621" s="74"/>
      <c r="P621" s="75"/>
      <c r="Q621" s="75"/>
      <c r="S621" s="72"/>
    </row>
    <row r="622">
      <c r="A622" s="75"/>
      <c r="B622" s="75"/>
      <c r="E622" s="72"/>
      <c r="M622" s="74"/>
      <c r="P622" s="75"/>
      <c r="Q622" s="75"/>
      <c r="S622" s="72"/>
    </row>
    <row r="623">
      <c r="A623" s="75"/>
      <c r="B623" s="75"/>
      <c r="E623" s="72"/>
      <c r="M623" s="74"/>
      <c r="P623" s="75"/>
      <c r="Q623" s="75"/>
      <c r="S623" s="72"/>
    </row>
    <row r="624">
      <c r="A624" s="75"/>
      <c r="B624" s="75"/>
      <c r="E624" s="72"/>
      <c r="M624" s="74"/>
      <c r="P624" s="75"/>
      <c r="Q624" s="75"/>
      <c r="S624" s="72"/>
    </row>
    <row r="625">
      <c r="A625" s="75"/>
      <c r="B625" s="75"/>
      <c r="E625" s="72"/>
      <c r="M625" s="74"/>
      <c r="P625" s="75"/>
      <c r="Q625" s="75"/>
      <c r="S625" s="72"/>
    </row>
    <row r="626">
      <c r="A626" s="75"/>
      <c r="B626" s="75"/>
      <c r="E626" s="72"/>
      <c r="M626" s="74"/>
      <c r="P626" s="75"/>
      <c r="Q626" s="75"/>
      <c r="S626" s="72"/>
    </row>
    <row r="627">
      <c r="A627" s="75"/>
      <c r="B627" s="75"/>
      <c r="E627" s="72"/>
      <c r="M627" s="74"/>
      <c r="P627" s="75"/>
      <c r="Q627" s="75"/>
      <c r="S627" s="72"/>
    </row>
    <row r="628">
      <c r="A628" s="75"/>
      <c r="B628" s="75"/>
      <c r="E628" s="72"/>
      <c r="M628" s="74"/>
      <c r="P628" s="75"/>
      <c r="Q628" s="75"/>
      <c r="S628" s="72"/>
    </row>
    <row r="629">
      <c r="A629" s="75"/>
      <c r="B629" s="75"/>
      <c r="E629" s="72"/>
      <c r="M629" s="74"/>
      <c r="P629" s="75"/>
      <c r="Q629" s="75"/>
      <c r="S629" s="72"/>
    </row>
    <row r="630">
      <c r="A630" s="75"/>
      <c r="B630" s="75"/>
      <c r="E630" s="72"/>
      <c r="M630" s="74"/>
      <c r="P630" s="75"/>
      <c r="Q630" s="75"/>
      <c r="S630" s="72"/>
    </row>
    <row r="631">
      <c r="A631" s="75"/>
      <c r="B631" s="75"/>
      <c r="E631" s="72"/>
      <c r="M631" s="74"/>
      <c r="P631" s="75"/>
      <c r="Q631" s="75"/>
      <c r="S631" s="72"/>
    </row>
    <row r="632">
      <c r="A632" s="75"/>
      <c r="B632" s="75"/>
      <c r="E632" s="72"/>
      <c r="M632" s="74"/>
      <c r="P632" s="75"/>
      <c r="Q632" s="75"/>
      <c r="S632" s="72"/>
    </row>
    <row r="633">
      <c r="A633" s="75"/>
      <c r="B633" s="75"/>
      <c r="E633" s="72"/>
      <c r="M633" s="74"/>
      <c r="P633" s="75"/>
      <c r="Q633" s="75"/>
      <c r="S633" s="72"/>
    </row>
    <row r="634">
      <c r="A634" s="75"/>
      <c r="B634" s="75"/>
      <c r="E634" s="72"/>
      <c r="M634" s="74"/>
      <c r="P634" s="75"/>
      <c r="Q634" s="75"/>
      <c r="S634" s="72"/>
    </row>
    <row r="635">
      <c r="A635" s="75"/>
      <c r="B635" s="75"/>
      <c r="E635" s="72"/>
      <c r="M635" s="74"/>
      <c r="P635" s="75"/>
      <c r="Q635" s="75"/>
      <c r="S635" s="72"/>
    </row>
    <row r="636">
      <c r="A636" s="75"/>
      <c r="B636" s="75"/>
      <c r="E636" s="72"/>
      <c r="M636" s="74"/>
      <c r="P636" s="75"/>
      <c r="Q636" s="75"/>
      <c r="S636" s="72"/>
    </row>
    <row r="637">
      <c r="A637" s="75"/>
      <c r="B637" s="75"/>
      <c r="E637" s="72"/>
      <c r="M637" s="74"/>
      <c r="P637" s="75"/>
      <c r="Q637" s="75"/>
      <c r="S637" s="72"/>
    </row>
    <row r="638">
      <c r="A638" s="75"/>
      <c r="B638" s="75"/>
      <c r="E638" s="72"/>
      <c r="M638" s="74"/>
      <c r="P638" s="75"/>
      <c r="Q638" s="75"/>
      <c r="S638" s="72"/>
    </row>
    <row r="639">
      <c r="A639" s="75"/>
      <c r="B639" s="75"/>
      <c r="E639" s="72"/>
      <c r="M639" s="74"/>
      <c r="P639" s="75"/>
      <c r="Q639" s="75"/>
      <c r="S639" s="72"/>
    </row>
    <row r="640">
      <c r="A640" s="75"/>
      <c r="B640" s="75"/>
      <c r="E640" s="72"/>
      <c r="M640" s="74"/>
      <c r="P640" s="75"/>
      <c r="Q640" s="75"/>
      <c r="S640" s="72"/>
    </row>
    <row r="641">
      <c r="A641" s="75"/>
      <c r="B641" s="75"/>
      <c r="E641" s="72"/>
      <c r="M641" s="74"/>
      <c r="P641" s="75"/>
      <c r="Q641" s="75"/>
      <c r="S641" s="72"/>
    </row>
    <row r="642">
      <c r="A642" s="75"/>
      <c r="B642" s="75"/>
      <c r="E642" s="72"/>
      <c r="M642" s="74"/>
      <c r="P642" s="75"/>
      <c r="Q642" s="75"/>
      <c r="S642" s="72"/>
    </row>
    <row r="643">
      <c r="A643" s="75"/>
      <c r="B643" s="75"/>
      <c r="E643" s="72"/>
      <c r="M643" s="74"/>
      <c r="P643" s="75"/>
      <c r="Q643" s="75"/>
      <c r="S643" s="72"/>
    </row>
    <row r="644">
      <c r="A644" s="75"/>
      <c r="B644" s="75"/>
      <c r="E644" s="72"/>
      <c r="M644" s="74"/>
      <c r="P644" s="75"/>
      <c r="Q644" s="75"/>
      <c r="S644" s="72"/>
    </row>
    <row r="645">
      <c r="A645" s="75"/>
      <c r="B645" s="75"/>
      <c r="E645" s="72"/>
      <c r="M645" s="74"/>
      <c r="P645" s="75"/>
      <c r="Q645" s="75"/>
      <c r="S645" s="72"/>
    </row>
    <row r="646">
      <c r="A646" s="75"/>
      <c r="B646" s="75"/>
      <c r="E646" s="72"/>
      <c r="M646" s="74"/>
      <c r="P646" s="75"/>
      <c r="Q646" s="75"/>
      <c r="S646" s="72"/>
    </row>
    <row r="647">
      <c r="A647" s="75"/>
      <c r="B647" s="75"/>
      <c r="E647" s="72"/>
      <c r="M647" s="74"/>
      <c r="P647" s="75"/>
      <c r="Q647" s="75"/>
      <c r="S647" s="72"/>
    </row>
    <row r="648">
      <c r="A648" s="75"/>
      <c r="B648" s="75"/>
      <c r="E648" s="72"/>
      <c r="M648" s="74"/>
      <c r="P648" s="75"/>
      <c r="Q648" s="75"/>
      <c r="S648" s="72"/>
    </row>
    <row r="649">
      <c r="A649" s="75"/>
      <c r="B649" s="75"/>
      <c r="E649" s="72"/>
      <c r="M649" s="74"/>
      <c r="P649" s="75"/>
      <c r="Q649" s="75"/>
      <c r="S649" s="72"/>
    </row>
    <row r="650">
      <c r="A650" s="75"/>
      <c r="B650" s="75"/>
      <c r="E650" s="72"/>
      <c r="M650" s="74"/>
      <c r="P650" s="75"/>
      <c r="Q650" s="75"/>
      <c r="S650" s="72"/>
    </row>
    <row r="651">
      <c r="A651" s="75"/>
      <c r="B651" s="75"/>
      <c r="E651" s="72"/>
      <c r="M651" s="74"/>
      <c r="P651" s="75"/>
      <c r="Q651" s="75"/>
      <c r="S651" s="72"/>
    </row>
    <row r="652">
      <c r="A652" s="75"/>
      <c r="B652" s="75"/>
      <c r="E652" s="72"/>
      <c r="M652" s="74"/>
      <c r="P652" s="75"/>
      <c r="Q652" s="75"/>
      <c r="S652" s="72"/>
    </row>
    <row r="653">
      <c r="A653" s="75"/>
      <c r="B653" s="75"/>
      <c r="E653" s="72"/>
      <c r="M653" s="74"/>
      <c r="P653" s="75"/>
      <c r="Q653" s="75"/>
      <c r="S653" s="72"/>
    </row>
    <row r="654">
      <c r="A654" s="75"/>
      <c r="B654" s="75"/>
      <c r="E654" s="72"/>
      <c r="M654" s="74"/>
      <c r="P654" s="75"/>
      <c r="Q654" s="75"/>
      <c r="S654" s="72"/>
    </row>
    <row r="655">
      <c r="A655" s="75"/>
      <c r="B655" s="75"/>
      <c r="E655" s="72"/>
      <c r="M655" s="74"/>
      <c r="P655" s="75"/>
      <c r="Q655" s="75"/>
      <c r="S655" s="72"/>
    </row>
    <row r="656">
      <c r="A656" s="75"/>
      <c r="B656" s="75"/>
      <c r="E656" s="72"/>
      <c r="M656" s="74"/>
      <c r="P656" s="75"/>
      <c r="Q656" s="75"/>
      <c r="S656" s="72"/>
    </row>
    <row r="657">
      <c r="A657" s="75"/>
      <c r="B657" s="75"/>
      <c r="E657" s="72"/>
      <c r="M657" s="74"/>
      <c r="P657" s="75"/>
      <c r="Q657" s="75"/>
      <c r="S657" s="72"/>
    </row>
    <row r="658">
      <c r="A658" s="75"/>
      <c r="B658" s="75"/>
      <c r="E658" s="72"/>
      <c r="M658" s="74"/>
      <c r="P658" s="75"/>
      <c r="Q658" s="75"/>
      <c r="S658" s="72"/>
    </row>
    <row r="659">
      <c r="A659" s="75"/>
      <c r="B659" s="75"/>
      <c r="E659" s="72"/>
      <c r="M659" s="74"/>
      <c r="P659" s="75"/>
      <c r="Q659" s="75"/>
      <c r="S659" s="72"/>
    </row>
    <row r="660">
      <c r="A660" s="75"/>
      <c r="B660" s="75"/>
      <c r="E660" s="72"/>
      <c r="M660" s="74"/>
      <c r="P660" s="75"/>
      <c r="Q660" s="75"/>
      <c r="S660" s="72"/>
    </row>
    <row r="661">
      <c r="A661" s="75"/>
      <c r="B661" s="75"/>
      <c r="E661" s="72"/>
      <c r="M661" s="74"/>
      <c r="P661" s="75"/>
      <c r="Q661" s="75"/>
      <c r="S661" s="72"/>
    </row>
    <row r="662">
      <c r="A662" s="75"/>
      <c r="B662" s="75"/>
      <c r="E662" s="72"/>
      <c r="M662" s="74"/>
      <c r="P662" s="75"/>
      <c r="Q662" s="75"/>
      <c r="S662" s="72"/>
    </row>
    <row r="663">
      <c r="A663" s="75"/>
      <c r="B663" s="75"/>
      <c r="E663" s="72"/>
      <c r="M663" s="74"/>
      <c r="P663" s="75"/>
      <c r="Q663" s="75"/>
      <c r="S663" s="72"/>
    </row>
    <row r="664">
      <c r="A664" s="75"/>
      <c r="B664" s="75"/>
      <c r="E664" s="72"/>
      <c r="M664" s="74"/>
      <c r="P664" s="75"/>
      <c r="Q664" s="75"/>
      <c r="S664" s="72"/>
    </row>
    <row r="665">
      <c r="A665" s="75"/>
      <c r="B665" s="75"/>
      <c r="E665" s="72"/>
      <c r="M665" s="74"/>
      <c r="P665" s="75"/>
      <c r="Q665" s="75"/>
      <c r="S665" s="72"/>
    </row>
    <row r="666">
      <c r="A666" s="75"/>
      <c r="B666" s="75"/>
      <c r="E666" s="72"/>
      <c r="M666" s="74"/>
      <c r="P666" s="75"/>
      <c r="Q666" s="75"/>
      <c r="S666" s="72"/>
    </row>
    <row r="667">
      <c r="A667" s="75"/>
      <c r="B667" s="75"/>
      <c r="E667" s="72"/>
      <c r="M667" s="74"/>
      <c r="P667" s="75"/>
      <c r="Q667" s="75"/>
      <c r="S667" s="72"/>
    </row>
    <row r="668">
      <c r="A668" s="75"/>
      <c r="B668" s="75"/>
      <c r="E668" s="72"/>
      <c r="M668" s="74"/>
      <c r="P668" s="75"/>
      <c r="Q668" s="75"/>
      <c r="S668" s="72"/>
    </row>
    <row r="669">
      <c r="A669" s="75"/>
      <c r="B669" s="75"/>
      <c r="E669" s="72"/>
      <c r="M669" s="74"/>
      <c r="P669" s="75"/>
      <c r="Q669" s="75"/>
      <c r="S669" s="72"/>
    </row>
    <row r="670">
      <c r="A670" s="75"/>
      <c r="B670" s="75"/>
      <c r="E670" s="72"/>
      <c r="M670" s="74"/>
      <c r="P670" s="75"/>
      <c r="Q670" s="75"/>
      <c r="S670" s="72"/>
    </row>
    <row r="671">
      <c r="A671" s="75"/>
      <c r="B671" s="75"/>
      <c r="E671" s="72"/>
      <c r="M671" s="74"/>
      <c r="P671" s="75"/>
      <c r="Q671" s="75"/>
      <c r="S671" s="72"/>
    </row>
    <row r="672">
      <c r="A672" s="75"/>
      <c r="B672" s="75"/>
      <c r="E672" s="72"/>
      <c r="M672" s="74"/>
      <c r="P672" s="75"/>
      <c r="Q672" s="75"/>
      <c r="S672" s="72"/>
    </row>
    <row r="673">
      <c r="A673" s="75"/>
      <c r="B673" s="75"/>
      <c r="E673" s="72"/>
      <c r="M673" s="74"/>
      <c r="P673" s="75"/>
      <c r="Q673" s="75"/>
      <c r="S673" s="72"/>
    </row>
    <row r="674">
      <c r="A674" s="75"/>
      <c r="B674" s="75"/>
      <c r="E674" s="72"/>
      <c r="M674" s="74"/>
      <c r="P674" s="75"/>
      <c r="Q674" s="75"/>
      <c r="S674" s="72"/>
    </row>
    <row r="675">
      <c r="A675" s="75"/>
      <c r="B675" s="75"/>
      <c r="E675" s="72"/>
      <c r="M675" s="74"/>
      <c r="P675" s="75"/>
      <c r="Q675" s="75"/>
      <c r="S675" s="72"/>
    </row>
    <row r="676">
      <c r="A676" s="75"/>
      <c r="B676" s="75"/>
      <c r="E676" s="72"/>
      <c r="M676" s="74"/>
      <c r="P676" s="75"/>
      <c r="Q676" s="75"/>
      <c r="S676" s="72"/>
    </row>
    <row r="677">
      <c r="A677" s="75"/>
      <c r="B677" s="75"/>
      <c r="E677" s="72"/>
      <c r="M677" s="74"/>
      <c r="P677" s="75"/>
      <c r="Q677" s="75"/>
      <c r="S677" s="72"/>
    </row>
    <row r="678">
      <c r="A678" s="75"/>
      <c r="B678" s="75"/>
      <c r="E678" s="72"/>
      <c r="M678" s="74"/>
      <c r="P678" s="75"/>
      <c r="Q678" s="75"/>
      <c r="S678" s="72"/>
    </row>
    <row r="679">
      <c r="A679" s="75"/>
      <c r="B679" s="75"/>
      <c r="E679" s="72"/>
      <c r="M679" s="74"/>
      <c r="P679" s="75"/>
      <c r="Q679" s="75"/>
      <c r="S679" s="72"/>
    </row>
    <row r="680">
      <c r="A680" s="75"/>
      <c r="B680" s="75"/>
      <c r="E680" s="72"/>
      <c r="M680" s="74"/>
      <c r="P680" s="75"/>
      <c r="Q680" s="75"/>
      <c r="S680" s="72"/>
    </row>
    <row r="681">
      <c r="A681" s="75"/>
      <c r="B681" s="75"/>
      <c r="E681" s="72"/>
      <c r="M681" s="74"/>
      <c r="P681" s="75"/>
      <c r="Q681" s="75"/>
      <c r="S681" s="72"/>
    </row>
    <row r="682">
      <c r="A682" s="75"/>
      <c r="B682" s="75"/>
      <c r="E682" s="72"/>
      <c r="M682" s="74"/>
      <c r="P682" s="75"/>
      <c r="Q682" s="75"/>
      <c r="S682" s="72"/>
    </row>
    <row r="683">
      <c r="A683" s="75"/>
      <c r="B683" s="75"/>
      <c r="E683" s="72"/>
      <c r="M683" s="74"/>
      <c r="P683" s="75"/>
      <c r="Q683" s="75"/>
      <c r="S683" s="72"/>
    </row>
    <row r="684">
      <c r="A684" s="75"/>
      <c r="B684" s="75"/>
      <c r="E684" s="72"/>
      <c r="M684" s="74"/>
      <c r="P684" s="75"/>
      <c r="Q684" s="75"/>
      <c r="S684" s="72"/>
    </row>
    <row r="685">
      <c r="A685" s="75"/>
      <c r="B685" s="75"/>
      <c r="E685" s="72"/>
      <c r="M685" s="74"/>
      <c r="P685" s="75"/>
      <c r="Q685" s="75"/>
      <c r="S685" s="72"/>
    </row>
    <row r="686">
      <c r="A686" s="75"/>
      <c r="B686" s="75"/>
      <c r="E686" s="72"/>
      <c r="M686" s="74"/>
      <c r="P686" s="75"/>
      <c r="Q686" s="75"/>
      <c r="S686" s="72"/>
    </row>
    <row r="687">
      <c r="A687" s="75"/>
      <c r="B687" s="75"/>
      <c r="E687" s="72"/>
      <c r="M687" s="74"/>
      <c r="P687" s="75"/>
      <c r="Q687" s="75"/>
      <c r="S687" s="72"/>
    </row>
    <row r="688">
      <c r="A688" s="75"/>
      <c r="B688" s="75"/>
      <c r="E688" s="72"/>
      <c r="M688" s="74"/>
      <c r="P688" s="75"/>
      <c r="Q688" s="75"/>
      <c r="S688" s="72"/>
    </row>
    <row r="689">
      <c r="A689" s="75"/>
      <c r="B689" s="75"/>
      <c r="E689" s="72"/>
      <c r="M689" s="74"/>
      <c r="P689" s="75"/>
      <c r="Q689" s="75"/>
      <c r="S689" s="72"/>
    </row>
    <row r="690">
      <c r="A690" s="75"/>
      <c r="B690" s="75"/>
      <c r="E690" s="72"/>
      <c r="M690" s="74"/>
      <c r="P690" s="75"/>
      <c r="Q690" s="75"/>
      <c r="S690" s="72"/>
    </row>
    <row r="691">
      <c r="A691" s="75"/>
      <c r="B691" s="75"/>
      <c r="E691" s="72"/>
      <c r="M691" s="74"/>
      <c r="P691" s="75"/>
      <c r="Q691" s="75"/>
      <c r="S691" s="72"/>
    </row>
    <row r="692">
      <c r="A692" s="75"/>
      <c r="B692" s="75"/>
      <c r="E692" s="72"/>
      <c r="M692" s="74"/>
      <c r="P692" s="75"/>
      <c r="Q692" s="75"/>
      <c r="S692" s="72"/>
    </row>
    <row r="693">
      <c r="A693" s="75"/>
      <c r="B693" s="75"/>
      <c r="E693" s="72"/>
      <c r="M693" s="74"/>
      <c r="P693" s="75"/>
      <c r="Q693" s="75"/>
      <c r="S693" s="72"/>
    </row>
    <row r="694">
      <c r="A694" s="75"/>
      <c r="B694" s="75"/>
      <c r="E694" s="72"/>
      <c r="M694" s="74"/>
      <c r="P694" s="75"/>
      <c r="Q694" s="75"/>
      <c r="S694" s="72"/>
    </row>
    <row r="695">
      <c r="A695" s="75"/>
      <c r="B695" s="75"/>
      <c r="E695" s="72"/>
      <c r="M695" s="74"/>
      <c r="P695" s="75"/>
      <c r="Q695" s="75"/>
      <c r="S695" s="72"/>
    </row>
    <row r="696">
      <c r="A696" s="75"/>
      <c r="B696" s="75"/>
      <c r="E696" s="72"/>
      <c r="M696" s="74"/>
      <c r="P696" s="75"/>
      <c r="Q696" s="75"/>
      <c r="S696" s="72"/>
    </row>
    <row r="697">
      <c r="A697" s="75"/>
      <c r="B697" s="75"/>
      <c r="E697" s="72"/>
      <c r="M697" s="74"/>
      <c r="P697" s="75"/>
      <c r="Q697" s="75"/>
      <c r="S697" s="72"/>
    </row>
    <row r="698">
      <c r="A698" s="75"/>
      <c r="B698" s="75"/>
      <c r="E698" s="72"/>
      <c r="M698" s="74"/>
      <c r="P698" s="75"/>
      <c r="Q698" s="75"/>
      <c r="S698" s="72"/>
    </row>
    <row r="699">
      <c r="A699" s="75"/>
      <c r="B699" s="75"/>
      <c r="E699" s="72"/>
      <c r="M699" s="74"/>
      <c r="P699" s="75"/>
      <c r="Q699" s="75"/>
      <c r="S699" s="72"/>
    </row>
    <row r="700">
      <c r="A700" s="75"/>
      <c r="B700" s="75"/>
      <c r="E700" s="72"/>
      <c r="M700" s="74"/>
      <c r="P700" s="75"/>
      <c r="Q700" s="75"/>
      <c r="S700" s="72"/>
    </row>
    <row r="701">
      <c r="A701" s="75"/>
      <c r="B701" s="75"/>
      <c r="E701" s="72"/>
      <c r="M701" s="74"/>
      <c r="P701" s="75"/>
      <c r="Q701" s="75"/>
      <c r="S701" s="72"/>
    </row>
    <row r="702">
      <c r="A702" s="75"/>
      <c r="B702" s="75"/>
      <c r="E702" s="72"/>
      <c r="M702" s="74"/>
      <c r="P702" s="75"/>
      <c r="Q702" s="75"/>
      <c r="S702" s="72"/>
    </row>
    <row r="703">
      <c r="A703" s="75"/>
      <c r="B703" s="75"/>
      <c r="E703" s="72"/>
      <c r="M703" s="74"/>
      <c r="P703" s="75"/>
      <c r="Q703" s="75"/>
      <c r="S703" s="72"/>
    </row>
    <row r="704">
      <c r="A704" s="75"/>
      <c r="B704" s="75"/>
      <c r="E704" s="72"/>
      <c r="M704" s="74"/>
      <c r="P704" s="75"/>
      <c r="Q704" s="75"/>
      <c r="S704" s="72"/>
    </row>
    <row r="705">
      <c r="A705" s="75"/>
      <c r="B705" s="75"/>
      <c r="E705" s="72"/>
      <c r="M705" s="74"/>
      <c r="P705" s="75"/>
      <c r="Q705" s="75"/>
      <c r="S705" s="72"/>
    </row>
    <row r="706">
      <c r="A706" s="75"/>
      <c r="B706" s="75"/>
      <c r="E706" s="72"/>
      <c r="M706" s="74"/>
      <c r="P706" s="75"/>
      <c r="Q706" s="75"/>
      <c r="S706" s="72"/>
    </row>
    <row r="707">
      <c r="A707" s="75"/>
      <c r="B707" s="75"/>
      <c r="E707" s="72"/>
      <c r="M707" s="74"/>
      <c r="P707" s="75"/>
      <c r="Q707" s="75"/>
      <c r="S707" s="72"/>
    </row>
    <row r="708">
      <c r="A708" s="75"/>
      <c r="B708" s="75"/>
      <c r="E708" s="72"/>
      <c r="M708" s="74"/>
      <c r="P708" s="75"/>
      <c r="Q708" s="75"/>
      <c r="S708" s="72"/>
    </row>
    <row r="709">
      <c r="A709" s="75"/>
      <c r="B709" s="75"/>
      <c r="E709" s="72"/>
      <c r="M709" s="74"/>
      <c r="P709" s="75"/>
      <c r="Q709" s="75"/>
      <c r="S709" s="72"/>
    </row>
    <row r="710">
      <c r="A710" s="75"/>
      <c r="B710" s="75"/>
      <c r="E710" s="72"/>
      <c r="M710" s="74"/>
      <c r="P710" s="75"/>
      <c r="Q710" s="75"/>
      <c r="S710" s="72"/>
    </row>
    <row r="711">
      <c r="A711" s="75"/>
      <c r="B711" s="75"/>
      <c r="E711" s="72"/>
      <c r="M711" s="74"/>
      <c r="P711" s="75"/>
      <c r="Q711" s="75"/>
      <c r="S711" s="72"/>
    </row>
    <row r="712">
      <c r="A712" s="75"/>
      <c r="B712" s="75"/>
      <c r="E712" s="72"/>
      <c r="M712" s="74"/>
      <c r="P712" s="75"/>
      <c r="Q712" s="75"/>
      <c r="S712" s="72"/>
    </row>
    <row r="713">
      <c r="A713" s="75"/>
      <c r="B713" s="75"/>
      <c r="E713" s="72"/>
      <c r="M713" s="74"/>
      <c r="P713" s="75"/>
      <c r="Q713" s="75"/>
      <c r="S713" s="72"/>
    </row>
    <row r="714">
      <c r="A714" s="75"/>
      <c r="B714" s="75"/>
      <c r="E714" s="72"/>
      <c r="M714" s="74"/>
      <c r="P714" s="75"/>
      <c r="Q714" s="75"/>
      <c r="S714" s="72"/>
    </row>
    <row r="715">
      <c r="A715" s="75"/>
      <c r="B715" s="75"/>
      <c r="E715" s="72"/>
      <c r="M715" s="74"/>
      <c r="P715" s="75"/>
      <c r="Q715" s="75"/>
      <c r="S715" s="72"/>
    </row>
    <row r="716">
      <c r="A716" s="75"/>
      <c r="B716" s="75"/>
      <c r="E716" s="72"/>
      <c r="M716" s="74"/>
      <c r="P716" s="75"/>
      <c r="Q716" s="75"/>
      <c r="S716" s="72"/>
    </row>
    <row r="717">
      <c r="A717" s="75"/>
      <c r="B717" s="75"/>
      <c r="E717" s="72"/>
      <c r="M717" s="74"/>
      <c r="P717" s="75"/>
      <c r="Q717" s="75"/>
      <c r="S717" s="72"/>
    </row>
    <row r="718">
      <c r="A718" s="75"/>
      <c r="B718" s="75"/>
      <c r="E718" s="72"/>
      <c r="M718" s="74"/>
      <c r="P718" s="75"/>
      <c r="Q718" s="75"/>
      <c r="S718" s="72"/>
    </row>
    <row r="719">
      <c r="A719" s="75"/>
      <c r="B719" s="75"/>
      <c r="E719" s="72"/>
      <c r="M719" s="74"/>
      <c r="P719" s="75"/>
      <c r="Q719" s="75"/>
      <c r="S719" s="72"/>
    </row>
    <row r="720">
      <c r="A720" s="75"/>
      <c r="B720" s="75"/>
      <c r="E720" s="72"/>
      <c r="M720" s="74"/>
      <c r="P720" s="75"/>
      <c r="Q720" s="75"/>
      <c r="S720" s="72"/>
    </row>
    <row r="721">
      <c r="A721" s="75"/>
      <c r="B721" s="75"/>
      <c r="E721" s="72"/>
      <c r="M721" s="74"/>
      <c r="P721" s="75"/>
      <c r="Q721" s="75"/>
      <c r="S721" s="72"/>
    </row>
    <row r="722">
      <c r="A722" s="75"/>
      <c r="B722" s="75"/>
      <c r="E722" s="72"/>
      <c r="M722" s="74"/>
      <c r="P722" s="75"/>
      <c r="Q722" s="75"/>
      <c r="S722" s="72"/>
    </row>
    <row r="723">
      <c r="A723" s="75"/>
      <c r="B723" s="75"/>
      <c r="E723" s="72"/>
      <c r="M723" s="74"/>
      <c r="P723" s="75"/>
      <c r="Q723" s="75"/>
      <c r="S723" s="72"/>
    </row>
    <row r="724">
      <c r="A724" s="75"/>
      <c r="B724" s="75"/>
      <c r="E724" s="72"/>
      <c r="M724" s="74"/>
      <c r="P724" s="75"/>
      <c r="Q724" s="75"/>
      <c r="S724" s="72"/>
    </row>
    <row r="725">
      <c r="A725" s="75"/>
      <c r="B725" s="75"/>
      <c r="E725" s="72"/>
      <c r="M725" s="74"/>
      <c r="P725" s="75"/>
      <c r="Q725" s="75"/>
      <c r="S725" s="72"/>
    </row>
    <row r="726">
      <c r="A726" s="75"/>
      <c r="B726" s="75"/>
      <c r="E726" s="72"/>
      <c r="M726" s="74"/>
      <c r="P726" s="75"/>
      <c r="Q726" s="75"/>
      <c r="S726" s="72"/>
    </row>
    <row r="727">
      <c r="A727" s="75"/>
      <c r="B727" s="75"/>
      <c r="E727" s="72"/>
      <c r="M727" s="74"/>
      <c r="P727" s="75"/>
      <c r="Q727" s="75"/>
      <c r="S727" s="72"/>
    </row>
    <row r="728">
      <c r="A728" s="75"/>
      <c r="B728" s="75"/>
      <c r="E728" s="72"/>
      <c r="M728" s="74"/>
      <c r="P728" s="75"/>
      <c r="Q728" s="75"/>
      <c r="S728" s="72"/>
    </row>
    <row r="729">
      <c r="A729" s="75"/>
      <c r="B729" s="75"/>
      <c r="E729" s="72"/>
      <c r="M729" s="74"/>
      <c r="P729" s="75"/>
      <c r="Q729" s="75"/>
      <c r="S729" s="72"/>
    </row>
    <row r="730">
      <c r="A730" s="75"/>
      <c r="B730" s="75"/>
      <c r="E730" s="72"/>
      <c r="M730" s="74"/>
      <c r="P730" s="75"/>
      <c r="Q730" s="75"/>
      <c r="S730" s="72"/>
    </row>
    <row r="731">
      <c r="A731" s="75"/>
      <c r="B731" s="75"/>
      <c r="E731" s="72"/>
      <c r="M731" s="74"/>
      <c r="P731" s="75"/>
      <c r="Q731" s="75"/>
      <c r="S731" s="72"/>
    </row>
    <row r="732">
      <c r="A732" s="75"/>
      <c r="B732" s="75"/>
      <c r="E732" s="72"/>
      <c r="M732" s="74"/>
      <c r="P732" s="75"/>
      <c r="Q732" s="75"/>
      <c r="S732" s="72"/>
    </row>
    <row r="733">
      <c r="A733" s="75"/>
      <c r="B733" s="75"/>
      <c r="E733" s="72"/>
      <c r="M733" s="74"/>
      <c r="P733" s="75"/>
      <c r="Q733" s="75"/>
      <c r="S733" s="72"/>
    </row>
    <row r="734">
      <c r="A734" s="75"/>
      <c r="B734" s="75"/>
      <c r="E734" s="72"/>
      <c r="M734" s="74"/>
      <c r="P734" s="75"/>
      <c r="Q734" s="75"/>
      <c r="S734" s="72"/>
    </row>
    <row r="735">
      <c r="A735" s="75"/>
      <c r="B735" s="75"/>
      <c r="E735" s="72"/>
      <c r="M735" s="74"/>
      <c r="P735" s="75"/>
      <c r="Q735" s="75"/>
      <c r="S735" s="72"/>
    </row>
    <row r="736">
      <c r="A736" s="75"/>
      <c r="B736" s="75"/>
      <c r="E736" s="72"/>
      <c r="M736" s="74"/>
      <c r="P736" s="75"/>
      <c r="Q736" s="75"/>
      <c r="S736" s="72"/>
    </row>
    <row r="737">
      <c r="A737" s="75"/>
      <c r="B737" s="75"/>
      <c r="E737" s="72"/>
      <c r="M737" s="74"/>
      <c r="P737" s="75"/>
      <c r="Q737" s="75"/>
      <c r="S737" s="72"/>
    </row>
    <row r="738">
      <c r="A738" s="75"/>
      <c r="B738" s="75"/>
      <c r="E738" s="72"/>
      <c r="M738" s="74"/>
      <c r="P738" s="75"/>
      <c r="Q738" s="75"/>
      <c r="S738" s="72"/>
    </row>
    <row r="739">
      <c r="A739" s="75"/>
      <c r="B739" s="75"/>
      <c r="E739" s="72"/>
      <c r="M739" s="74"/>
      <c r="P739" s="75"/>
      <c r="Q739" s="75"/>
      <c r="S739" s="72"/>
    </row>
    <row r="740">
      <c r="A740" s="75"/>
      <c r="B740" s="75"/>
      <c r="E740" s="72"/>
      <c r="M740" s="74"/>
      <c r="P740" s="75"/>
      <c r="Q740" s="75"/>
      <c r="S740" s="72"/>
    </row>
    <row r="741">
      <c r="A741" s="75"/>
      <c r="B741" s="75"/>
      <c r="E741" s="72"/>
      <c r="M741" s="74"/>
      <c r="P741" s="75"/>
      <c r="Q741" s="75"/>
      <c r="S741" s="72"/>
    </row>
    <row r="742">
      <c r="A742" s="75"/>
      <c r="B742" s="75"/>
      <c r="E742" s="72"/>
      <c r="M742" s="74"/>
      <c r="P742" s="75"/>
      <c r="Q742" s="75"/>
      <c r="S742" s="72"/>
    </row>
    <row r="743">
      <c r="A743" s="75"/>
      <c r="B743" s="75"/>
      <c r="E743" s="72"/>
      <c r="M743" s="74"/>
      <c r="P743" s="75"/>
      <c r="Q743" s="75"/>
      <c r="S743" s="72"/>
    </row>
    <row r="744">
      <c r="A744" s="75"/>
      <c r="B744" s="75"/>
      <c r="E744" s="72"/>
      <c r="M744" s="74"/>
      <c r="P744" s="75"/>
      <c r="Q744" s="75"/>
      <c r="S744" s="72"/>
    </row>
    <row r="745">
      <c r="A745" s="75"/>
      <c r="B745" s="75"/>
      <c r="E745" s="72"/>
      <c r="M745" s="74"/>
      <c r="P745" s="75"/>
      <c r="Q745" s="75"/>
      <c r="S745" s="72"/>
    </row>
    <row r="746">
      <c r="A746" s="75"/>
      <c r="B746" s="75"/>
      <c r="E746" s="72"/>
      <c r="M746" s="74"/>
      <c r="P746" s="75"/>
      <c r="Q746" s="75"/>
      <c r="S746" s="72"/>
    </row>
    <row r="747">
      <c r="A747" s="75"/>
      <c r="B747" s="75"/>
      <c r="E747" s="72"/>
      <c r="M747" s="74"/>
      <c r="P747" s="75"/>
      <c r="Q747" s="75"/>
      <c r="S747" s="72"/>
    </row>
    <row r="748">
      <c r="A748" s="75"/>
      <c r="B748" s="75"/>
      <c r="E748" s="72"/>
      <c r="M748" s="74"/>
      <c r="P748" s="75"/>
      <c r="Q748" s="75"/>
      <c r="S748" s="72"/>
    </row>
    <row r="749">
      <c r="A749" s="75"/>
      <c r="B749" s="75"/>
      <c r="E749" s="72"/>
      <c r="M749" s="74"/>
      <c r="P749" s="75"/>
      <c r="Q749" s="75"/>
      <c r="S749" s="72"/>
    </row>
    <row r="750">
      <c r="A750" s="75"/>
      <c r="B750" s="75"/>
      <c r="E750" s="72"/>
      <c r="M750" s="74"/>
      <c r="P750" s="75"/>
      <c r="Q750" s="75"/>
      <c r="S750" s="72"/>
    </row>
    <row r="751">
      <c r="A751" s="75"/>
      <c r="B751" s="75"/>
      <c r="E751" s="72"/>
      <c r="M751" s="74"/>
      <c r="P751" s="75"/>
      <c r="Q751" s="75"/>
      <c r="S751" s="72"/>
    </row>
    <row r="752">
      <c r="A752" s="75"/>
      <c r="B752" s="75"/>
      <c r="E752" s="72"/>
      <c r="M752" s="74"/>
      <c r="P752" s="75"/>
      <c r="Q752" s="75"/>
      <c r="S752" s="72"/>
    </row>
    <row r="753">
      <c r="A753" s="75"/>
      <c r="B753" s="75"/>
      <c r="E753" s="72"/>
      <c r="M753" s="74"/>
      <c r="P753" s="75"/>
      <c r="Q753" s="75"/>
      <c r="S753" s="72"/>
    </row>
    <row r="754">
      <c r="A754" s="75"/>
      <c r="B754" s="75"/>
      <c r="E754" s="72"/>
      <c r="M754" s="74"/>
      <c r="P754" s="75"/>
      <c r="Q754" s="75"/>
      <c r="S754" s="72"/>
    </row>
    <row r="755">
      <c r="A755" s="75"/>
      <c r="B755" s="75"/>
      <c r="E755" s="72"/>
      <c r="M755" s="74"/>
      <c r="P755" s="75"/>
      <c r="Q755" s="75"/>
      <c r="S755" s="72"/>
    </row>
    <row r="756">
      <c r="A756" s="75"/>
      <c r="B756" s="75"/>
      <c r="E756" s="72"/>
      <c r="M756" s="74"/>
      <c r="P756" s="75"/>
      <c r="Q756" s="75"/>
      <c r="S756" s="72"/>
    </row>
    <row r="757">
      <c r="A757" s="75"/>
      <c r="B757" s="75"/>
      <c r="E757" s="72"/>
      <c r="M757" s="74"/>
      <c r="P757" s="75"/>
      <c r="Q757" s="75"/>
      <c r="S757" s="72"/>
    </row>
    <row r="758">
      <c r="A758" s="75"/>
      <c r="B758" s="75"/>
      <c r="E758" s="72"/>
      <c r="M758" s="74"/>
      <c r="P758" s="75"/>
      <c r="Q758" s="75"/>
      <c r="S758" s="72"/>
    </row>
    <row r="759">
      <c r="A759" s="75"/>
      <c r="B759" s="75"/>
      <c r="E759" s="72"/>
      <c r="M759" s="74"/>
      <c r="P759" s="75"/>
      <c r="Q759" s="75"/>
      <c r="S759" s="72"/>
    </row>
    <row r="760">
      <c r="A760" s="75"/>
      <c r="B760" s="75"/>
      <c r="E760" s="72"/>
      <c r="M760" s="74"/>
      <c r="P760" s="75"/>
      <c r="Q760" s="75"/>
      <c r="S760" s="72"/>
    </row>
    <row r="761">
      <c r="A761" s="75"/>
      <c r="B761" s="75"/>
      <c r="E761" s="72"/>
      <c r="M761" s="74"/>
      <c r="P761" s="75"/>
      <c r="Q761" s="75"/>
      <c r="S761" s="72"/>
    </row>
    <row r="762">
      <c r="A762" s="75"/>
      <c r="B762" s="75"/>
      <c r="E762" s="72"/>
      <c r="M762" s="74"/>
      <c r="P762" s="75"/>
      <c r="Q762" s="75"/>
      <c r="S762" s="72"/>
    </row>
    <row r="763">
      <c r="A763" s="75"/>
      <c r="B763" s="75"/>
      <c r="E763" s="72"/>
      <c r="M763" s="74"/>
      <c r="P763" s="75"/>
      <c r="Q763" s="75"/>
      <c r="S763" s="72"/>
    </row>
    <row r="764">
      <c r="A764" s="75"/>
      <c r="B764" s="75"/>
      <c r="E764" s="72"/>
      <c r="M764" s="74"/>
      <c r="P764" s="75"/>
      <c r="Q764" s="75"/>
      <c r="S764" s="72"/>
    </row>
    <row r="765">
      <c r="A765" s="75"/>
      <c r="B765" s="75"/>
      <c r="E765" s="72"/>
      <c r="M765" s="74"/>
      <c r="P765" s="75"/>
      <c r="Q765" s="75"/>
      <c r="S765" s="72"/>
    </row>
    <row r="766">
      <c r="A766" s="75"/>
      <c r="B766" s="75"/>
      <c r="E766" s="72"/>
      <c r="M766" s="74"/>
      <c r="P766" s="75"/>
      <c r="Q766" s="75"/>
      <c r="S766" s="72"/>
    </row>
    <row r="767">
      <c r="A767" s="75"/>
      <c r="B767" s="75"/>
      <c r="E767" s="72"/>
      <c r="M767" s="74"/>
      <c r="P767" s="75"/>
      <c r="Q767" s="75"/>
      <c r="S767" s="72"/>
    </row>
    <row r="768">
      <c r="A768" s="75"/>
      <c r="B768" s="75"/>
      <c r="E768" s="72"/>
      <c r="M768" s="74"/>
      <c r="P768" s="75"/>
      <c r="Q768" s="75"/>
      <c r="S768" s="72"/>
    </row>
    <row r="769">
      <c r="A769" s="75"/>
      <c r="B769" s="75"/>
      <c r="E769" s="72"/>
      <c r="M769" s="74"/>
      <c r="P769" s="75"/>
      <c r="Q769" s="75"/>
      <c r="S769" s="72"/>
    </row>
    <row r="770">
      <c r="A770" s="75"/>
      <c r="B770" s="75"/>
      <c r="E770" s="72"/>
      <c r="M770" s="74"/>
      <c r="P770" s="75"/>
      <c r="Q770" s="75"/>
      <c r="S770" s="72"/>
    </row>
    <row r="771">
      <c r="A771" s="75"/>
      <c r="B771" s="75"/>
      <c r="E771" s="72"/>
      <c r="M771" s="74"/>
      <c r="P771" s="75"/>
      <c r="Q771" s="75"/>
      <c r="S771" s="72"/>
    </row>
    <row r="772">
      <c r="A772" s="75"/>
      <c r="B772" s="75"/>
      <c r="E772" s="72"/>
      <c r="M772" s="74"/>
      <c r="P772" s="75"/>
      <c r="Q772" s="75"/>
      <c r="S772" s="72"/>
    </row>
    <row r="773">
      <c r="A773" s="75"/>
      <c r="B773" s="75"/>
      <c r="E773" s="72"/>
      <c r="M773" s="74"/>
      <c r="P773" s="75"/>
      <c r="Q773" s="75"/>
      <c r="S773" s="72"/>
    </row>
    <row r="774">
      <c r="A774" s="75"/>
      <c r="B774" s="75"/>
      <c r="E774" s="72"/>
      <c r="M774" s="74"/>
      <c r="P774" s="75"/>
      <c r="Q774" s="75"/>
      <c r="S774" s="72"/>
    </row>
    <row r="775">
      <c r="A775" s="75"/>
      <c r="B775" s="75"/>
      <c r="E775" s="72"/>
      <c r="M775" s="74"/>
      <c r="P775" s="75"/>
      <c r="Q775" s="75"/>
      <c r="S775" s="72"/>
    </row>
    <row r="776">
      <c r="A776" s="75"/>
      <c r="B776" s="75"/>
      <c r="E776" s="72"/>
      <c r="M776" s="74"/>
      <c r="P776" s="75"/>
      <c r="Q776" s="75"/>
      <c r="S776" s="72"/>
    </row>
    <row r="777">
      <c r="A777" s="75"/>
      <c r="B777" s="75"/>
      <c r="E777" s="72"/>
      <c r="M777" s="74"/>
      <c r="P777" s="75"/>
      <c r="Q777" s="75"/>
      <c r="S777" s="72"/>
    </row>
    <row r="778">
      <c r="A778" s="75"/>
      <c r="B778" s="75"/>
      <c r="E778" s="72"/>
      <c r="M778" s="74"/>
      <c r="P778" s="75"/>
      <c r="Q778" s="75"/>
      <c r="S778" s="72"/>
    </row>
    <row r="779">
      <c r="A779" s="75"/>
      <c r="B779" s="75"/>
      <c r="E779" s="72"/>
      <c r="M779" s="74"/>
      <c r="P779" s="75"/>
      <c r="Q779" s="75"/>
      <c r="S779" s="72"/>
    </row>
    <row r="780">
      <c r="A780" s="75"/>
      <c r="B780" s="75"/>
      <c r="E780" s="72"/>
      <c r="M780" s="74"/>
      <c r="P780" s="75"/>
      <c r="Q780" s="75"/>
      <c r="S780" s="72"/>
    </row>
    <row r="781">
      <c r="A781" s="75"/>
      <c r="B781" s="75"/>
      <c r="E781" s="72"/>
      <c r="M781" s="74"/>
      <c r="P781" s="75"/>
      <c r="Q781" s="75"/>
      <c r="S781" s="72"/>
    </row>
    <row r="782">
      <c r="A782" s="75"/>
      <c r="B782" s="75"/>
      <c r="E782" s="72"/>
      <c r="M782" s="74"/>
      <c r="P782" s="75"/>
      <c r="Q782" s="75"/>
      <c r="S782" s="72"/>
    </row>
    <row r="783">
      <c r="A783" s="75"/>
      <c r="B783" s="75"/>
      <c r="E783" s="72"/>
      <c r="M783" s="74"/>
      <c r="P783" s="75"/>
      <c r="Q783" s="75"/>
      <c r="S783" s="72"/>
    </row>
    <row r="784">
      <c r="A784" s="75"/>
      <c r="B784" s="75"/>
      <c r="E784" s="72"/>
      <c r="M784" s="74"/>
      <c r="P784" s="75"/>
      <c r="Q784" s="75"/>
      <c r="S784" s="72"/>
    </row>
    <row r="785">
      <c r="A785" s="75"/>
      <c r="B785" s="75"/>
      <c r="E785" s="72"/>
      <c r="M785" s="74"/>
      <c r="P785" s="75"/>
      <c r="Q785" s="75"/>
      <c r="S785" s="72"/>
    </row>
    <row r="786">
      <c r="A786" s="75"/>
      <c r="B786" s="75"/>
      <c r="E786" s="72"/>
      <c r="M786" s="74"/>
      <c r="P786" s="75"/>
      <c r="Q786" s="75"/>
      <c r="S786" s="72"/>
    </row>
    <row r="787">
      <c r="A787" s="75"/>
      <c r="B787" s="75"/>
      <c r="E787" s="72"/>
      <c r="M787" s="74"/>
      <c r="P787" s="75"/>
      <c r="Q787" s="75"/>
      <c r="S787" s="72"/>
    </row>
    <row r="788">
      <c r="A788" s="75"/>
      <c r="B788" s="75"/>
      <c r="E788" s="72"/>
      <c r="M788" s="74"/>
      <c r="P788" s="75"/>
      <c r="Q788" s="75"/>
      <c r="S788" s="72"/>
    </row>
    <row r="789">
      <c r="A789" s="75"/>
      <c r="B789" s="75"/>
      <c r="E789" s="72"/>
      <c r="M789" s="74"/>
      <c r="P789" s="75"/>
      <c r="Q789" s="75"/>
      <c r="S789" s="72"/>
    </row>
    <row r="790">
      <c r="A790" s="75"/>
      <c r="B790" s="75"/>
      <c r="E790" s="72"/>
      <c r="M790" s="74"/>
      <c r="P790" s="75"/>
      <c r="Q790" s="75"/>
      <c r="S790" s="72"/>
    </row>
    <row r="791">
      <c r="A791" s="75"/>
      <c r="B791" s="75"/>
      <c r="E791" s="72"/>
      <c r="M791" s="74"/>
      <c r="P791" s="75"/>
      <c r="Q791" s="75"/>
      <c r="S791" s="72"/>
    </row>
    <row r="792">
      <c r="A792" s="75"/>
      <c r="B792" s="75"/>
      <c r="E792" s="72"/>
      <c r="M792" s="74"/>
      <c r="P792" s="75"/>
      <c r="Q792" s="75"/>
      <c r="S792" s="72"/>
    </row>
    <row r="793">
      <c r="A793" s="75"/>
      <c r="B793" s="75"/>
      <c r="E793" s="72"/>
      <c r="M793" s="74"/>
      <c r="P793" s="75"/>
      <c r="Q793" s="75"/>
      <c r="S793" s="72"/>
    </row>
    <row r="794">
      <c r="A794" s="75"/>
      <c r="B794" s="75"/>
      <c r="E794" s="72"/>
      <c r="M794" s="74"/>
      <c r="P794" s="75"/>
      <c r="Q794" s="75"/>
      <c r="S794" s="72"/>
    </row>
    <row r="795">
      <c r="A795" s="75"/>
      <c r="B795" s="75"/>
      <c r="E795" s="72"/>
      <c r="M795" s="74"/>
      <c r="P795" s="75"/>
      <c r="Q795" s="75"/>
      <c r="S795" s="72"/>
    </row>
    <row r="796">
      <c r="A796" s="75"/>
      <c r="B796" s="75"/>
      <c r="E796" s="72"/>
      <c r="M796" s="74"/>
      <c r="P796" s="75"/>
      <c r="Q796" s="75"/>
      <c r="S796" s="72"/>
    </row>
    <row r="797">
      <c r="A797" s="75"/>
      <c r="B797" s="75"/>
      <c r="E797" s="72"/>
      <c r="M797" s="74"/>
      <c r="P797" s="75"/>
      <c r="Q797" s="75"/>
      <c r="S797" s="72"/>
    </row>
    <row r="798">
      <c r="A798" s="75"/>
      <c r="B798" s="75"/>
      <c r="E798" s="72"/>
      <c r="M798" s="74"/>
      <c r="P798" s="75"/>
      <c r="Q798" s="75"/>
      <c r="S798" s="72"/>
    </row>
    <row r="799">
      <c r="A799" s="75"/>
      <c r="B799" s="75"/>
      <c r="E799" s="72"/>
      <c r="M799" s="74"/>
      <c r="P799" s="75"/>
      <c r="Q799" s="75"/>
      <c r="S799" s="72"/>
    </row>
    <row r="800">
      <c r="A800" s="75"/>
      <c r="B800" s="75"/>
      <c r="E800" s="72"/>
      <c r="M800" s="74"/>
      <c r="P800" s="75"/>
      <c r="Q800" s="75"/>
      <c r="S800" s="72"/>
    </row>
    <row r="801">
      <c r="A801" s="75"/>
      <c r="B801" s="75"/>
      <c r="E801" s="72"/>
      <c r="M801" s="74"/>
      <c r="P801" s="75"/>
      <c r="Q801" s="75"/>
      <c r="S801" s="72"/>
    </row>
    <row r="802">
      <c r="A802" s="75"/>
      <c r="B802" s="75"/>
      <c r="E802" s="72"/>
      <c r="M802" s="74"/>
      <c r="P802" s="75"/>
      <c r="Q802" s="75"/>
      <c r="S802" s="72"/>
    </row>
    <row r="803">
      <c r="A803" s="75"/>
      <c r="B803" s="75"/>
      <c r="E803" s="72"/>
      <c r="M803" s="74"/>
      <c r="P803" s="75"/>
      <c r="Q803" s="75"/>
      <c r="S803" s="72"/>
    </row>
    <row r="804">
      <c r="A804" s="75"/>
      <c r="B804" s="75"/>
      <c r="E804" s="72"/>
      <c r="M804" s="74"/>
      <c r="P804" s="75"/>
      <c r="Q804" s="75"/>
      <c r="S804" s="72"/>
    </row>
    <row r="805">
      <c r="A805" s="75"/>
      <c r="B805" s="75"/>
      <c r="E805" s="72"/>
      <c r="M805" s="74"/>
      <c r="P805" s="75"/>
      <c r="Q805" s="75"/>
      <c r="S805" s="72"/>
    </row>
    <row r="806">
      <c r="A806" s="75"/>
      <c r="B806" s="75"/>
      <c r="E806" s="72"/>
      <c r="M806" s="74"/>
      <c r="P806" s="75"/>
      <c r="Q806" s="75"/>
      <c r="S806" s="72"/>
    </row>
    <row r="807">
      <c r="A807" s="75"/>
      <c r="B807" s="75"/>
      <c r="E807" s="72"/>
      <c r="M807" s="74"/>
      <c r="P807" s="75"/>
      <c r="Q807" s="75"/>
      <c r="S807" s="72"/>
    </row>
    <row r="808">
      <c r="A808" s="75"/>
      <c r="B808" s="75"/>
      <c r="E808" s="72"/>
      <c r="M808" s="74"/>
      <c r="P808" s="75"/>
      <c r="Q808" s="75"/>
      <c r="S808" s="72"/>
    </row>
    <row r="809">
      <c r="A809" s="75"/>
      <c r="B809" s="75"/>
      <c r="E809" s="72"/>
      <c r="M809" s="74"/>
      <c r="P809" s="75"/>
      <c r="Q809" s="75"/>
      <c r="S809" s="72"/>
    </row>
    <row r="810">
      <c r="A810" s="75"/>
      <c r="B810" s="75"/>
      <c r="E810" s="72"/>
      <c r="M810" s="74"/>
      <c r="P810" s="75"/>
      <c r="Q810" s="75"/>
      <c r="S810" s="72"/>
    </row>
    <row r="811">
      <c r="A811" s="75"/>
      <c r="B811" s="75"/>
      <c r="E811" s="72"/>
      <c r="M811" s="74"/>
      <c r="P811" s="75"/>
      <c r="Q811" s="75"/>
      <c r="S811" s="72"/>
    </row>
    <row r="812">
      <c r="A812" s="75"/>
      <c r="B812" s="75"/>
      <c r="E812" s="72"/>
      <c r="M812" s="74"/>
      <c r="P812" s="75"/>
      <c r="Q812" s="75"/>
      <c r="S812" s="72"/>
    </row>
    <row r="813">
      <c r="A813" s="75"/>
      <c r="B813" s="75"/>
      <c r="E813" s="72"/>
      <c r="M813" s="74"/>
      <c r="P813" s="75"/>
      <c r="Q813" s="75"/>
      <c r="S813" s="72"/>
    </row>
    <row r="814">
      <c r="A814" s="75"/>
      <c r="B814" s="75"/>
      <c r="E814" s="72"/>
      <c r="M814" s="74"/>
      <c r="P814" s="75"/>
      <c r="Q814" s="75"/>
      <c r="S814" s="72"/>
    </row>
    <row r="815">
      <c r="A815" s="75"/>
      <c r="B815" s="75"/>
      <c r="E815" s="72"/>
      <c r="M815" s="74"/>
      <c r="P815" s="75"/>
      <c r="Q815" s="75"/>
      <c r="S815" s="72"/>
    </row>
    <row r="816">
      <c r="A816" s="75"/>
      <c r="B816" s="75"/>
      <c r="E816" s="72"/>
      <c r="M816" s="74"/>
      <c r="P816" s="75"/>
      <c r="Q816" s="75"/>
      <c r="S816" s="72"/>
    </row>
    <row r="817">
      <c r="A817" s="75"/>
      <c r="B817" s="75"/>
      <c r="E817" s="72"/>
      <c r="M817" s="74"/>
      <c r="P817" s="75"/>
      <c r="Q817" s="75"/>
      <c r="S817" s="72"/>
    </row>
    <row r="818">
      <c r="A818" s="75"/>
      <c r="B818" s="75"/>
      <c r="E818" s="72"/>
      <c r="M818" s="74"/>
      <c r="P818" s="75"/>
      <c r="Q818" s="75"/>
      <c r="S818" s="72"/>
    </row>
    <row r="819">
      <c r="A819" s="75"/>
      <c r="B819" s="75"/>
      <c r="E819" s="72"/>
      <c r="M819" s="74"/>
      <c r="P819" s="75"/>
      <c r="Q819" s="75"/>
      <c r="S819" s="72"/>
    </row>
    <row r="820">
      <c r="A820" s="75"/>
      <c r="B820" s="75"/>
      <c r="E820" s="72"/>
      <c r="M820" s="74"/>
      <c r="P820" s="75"/>
      <c r="Q820" s="75"/>
      <c r="S820" s="72"/>
    </row>
    <row r="821">
      <c r="A821" s="75"/>
      <c r="B821" s="75"/>
      <c r="E821" s="72"/>
      <c r="M821" s="74"/>
      <c r="P821" s="75"/>
      <c r="Q821" s="75"/>
      <c r="S821" s="72"/>
    </row>
    <row r="822">
      <c r="A822" s="75"/>
      <c r="B822" s="75"/>
      <c r="E822" s="72"/>
      <c r="M822" s="74"/>
      <c r="P822" s="75"/>
      <c r="Q822" s="75"/>
      <c r="S822" s="72"/>
    </row>
    <row r="823">
      <c r="A823" s="75"/>
      <c r="B823" s="75"/>
      <c r="E823" s="72"/>
      <c r="M823" s="74"/>
      <c r="P823" s="75"/>
      <c r="Q823" s="75"/>
      <c r="S823" s="72"/>
    </row>
    <row r="824">
      <c r="A824" s="75"/>
      <c r="B824" s="75"/>
      <c r="E824" s="72"/>
      <c r="M824" s="74"/>
      <c r="P824" s="75"/>
      <c r="Q824" s="75"/>
      <c r="S824" s="72"/>
    </row>
    <row r="825">
      <c r="A825" s="75"/>
      <c r="B825" s="75"/>
      <c r="E825" s="72"/>
      <c r="M825" s="74"/>
      <c r="P825" s="75"/>
      <c r="Q825" s="75"/>
      <c r="S825" s="72"/>
    </row>
    <row r="826">
      <c r="A826" s="75"/>
      <c r="B826" s="75"/>
      <c r="E826" s="72"/>
      <c r="M826" s="74"/>
      <c r="P826" s="75"/>
      <c r="Q826" s="75"/>
      <c r="S826" s="72"/>
    </row>
    <row r="827">
      <c r="A827" s="75"/>
      <c r="B827" s="75"/>
      <c r="E827" s="72"/>
      <c r="M827" s="74"/>
      <c r="P827" s="75"/>
      <c r="Q827" s="75"/>
      <c r="S827" s="72"/>
    </row>
    <row r="828">
      <c r="A828" s="75"/>
      <c r="B828" s="75"/>
      <c r="E828" s="72"/>
      <c r="M828" s="74"/>
      <c r="P828" s="75"/>
      <c r="Q828" s="75"/>
      <c r="S828" s="72"/>
    </row>
    <row r="829">
      <c r="A829" s="75"/>
      <c r="B829" s="75"/>
      <c r="E829" s="72"/>
      <c r="M829" s="74"/>
      <c r="P829" s="75"/>
      <c r="Q829" s="75"/>
      <c r="S829" s="72"/>
    </row>
    <row r="830">
      <c r="A830" s="75"/>
      <c r="B830" s="75"/>
      <c r="E830" s="72"/>
      <c r="M830" s="74"/>
      <c r="P830" s="75"/>
      <c r="Q830" s="75"/>
      <c r="S830" s="72"/>
    </row>
    <row r="831">
      <c r="A831" s="75"/>
      <c r="B831" s="75"/>
      <c r="E831" s="72"/>
      <c r="M831" s="74"/>
      <c r="P831" s="75"/>
      <c r="Q831" s="75"/>
      <c r="S831" s="72"/>
    </row>
    <row r="832">
      <c r="A832" s="75"/>
      <c r="B832" s="75"/>
      <c r="E832" s="72"/>
      <c r="M832" s="74"/>
      <c r="P832" s="75"/>
      <c r="Q832" s="75"/>
      <c r="S832" s="72"/>
    </row>
    <row r="833">
      <c r="A833" s="75"/>
      <c r="B833" s="75"/>
      <c r="E833" s="72"/>
      <c r="M833" s="74"/>
      <c r="P833" s="75"/>
      <c r="Q833" s="75"/>
      <c r="S833" s="72"/>
    </row>
    <row r="834">
      <c r="A834" s="75"/>
      <c r="B834" s="75"/>
      <c r="E834" s="72"/>
      <c r="M834" s="74"/>
      <c r="P834" s="75"/>
      <c r="Q834" s="75"/>
      <c r="S834" s="72"/>
    </row>
    <row r="835">
      <c r="A835" s="75"/>
      <c r="B835" s="75"/>
      <c r="E835" s="72"/>
      <c r="M835" s="74"/>
      <c r="P835" s="75"/>
      <c r="Q835" s="75"/>
      <c r="S835" s="72"/>
    </row>
    <row r="836">
      <c r="A836" s="75"/>
      <c r="B836" s="75"/>
      <c r="E836" s="72"/>
      <c r="M836" s="74"/>
      <c r="P836" s="75"/>
      <c r="Q836" s="75"/>
      <c r="S836" s="72"/>
    </row>
    <row r="837">
      <c r="A837" s="75"/>
      <c r="B837" s="75"/>
      <c r="E837" s="72"/>
      <c r="M837" s="74"/>
      <c r="P837" s="75"/>
      <c r="Q837" s="75"/>
      <c r="S837" s="72"/>
    </row>
    <row r="838">
      <c r="A838" s="75"/>
      <c r="B838" s="75"/>
      <c r="E838" s="72"/>
      <c r="M838" s="74"/>
      <c r="P838" s="75"/>
      <c r="Q838" s="75"/>
      <c r="S838" s="72"/>
    </row>
    <row r="839">
      <c r="A839" s="75"/>
      <c r="B839" s="75"/>
      <c r="E839" s="72"/>
      <c r="M839" s="74"/>
      <c r="P839" s="75"/>
      <c r="Q839" s="75"/>
      <c r="S839" s="72"/>
    </row>
    <row r="840">
      <c r="A840" s="75"/>
      <c r="B840" s="75"/>
      <c r="E840" s="72"/>
      <c r="M840" s="74"/>
      <c r="P840" s="75"/>
      <c r="Q840" s="75"/>
      <c r="S840" s="72"/>
    </row>
    <row r="841">
      <c r="A841" s="75"/>
      <c r="B841" s="75"/>
      <c r="E841" s="72"/>
      <c r="M841" s="74"/>
      <c r="P841" s="75"/>
      <c r="Q841" s="75"/>
      <c r="S841" s="72"/>
    </row>
    <row r="842">
      <c r="A842" s="75"/>
      <c r="B842" s="75"/>
      <c r="E842" s="72"/>
      <c r="M842" s="74"/>
      <c r="P842" s="75"/>
      <c r="Q842" s="75"/>
      <c r="S842" s="72"/>
    </row>
    <row r="843">
      <c r="A843" s="75"/>
      <c r="B843" s="75"/>
      <c r="E843" s="72"/>
      <c r="M843" s="74"/>
      <c r="P843" s="75"/>
      <c r="Q843" s="75"/>
      <c r="S843" s="72"/>
    </row>
    <row r="844">
      <c r="A844" s="75"/>
      <c r="B844" s="75"/>
      <c r="E844" s="72"/>
      <c r="M844" s="74"/>
      <c r="P844" s="75"/>
      <c r="Q844" s="75"/>
      <c r="S844" s="72"/>
    </row>
    <row r="845">
      <c r="A845" s="75"/>
      <c r="B845" s="75"/>
      <c r="E845" s="72"/>
      <c r="M845" s="74"/>
      <c r="P845" s="75"/>
      <c r="Q845" s="75"/>
      <c r="S845" s="72"/>
    </row>
    <row r="846">
      <c r="A846" s="75"/>
      <c r="B846" s="75"/>
      <c r="E846" s="72"/>
      <c r="M846" s="74"/>
      <c r="P846" s="75"/>
      <c r="Q846" s="75"/>
      <c r="S846" s="72"/>
    </row>
    <row r="847">
      <c r="A847" s="75"/>
      <c r="B847" s="75"/>
      <c r="E847" s="72"/>
      <c r="M847" s="74"/>
      <c r="P847" s="75"/>
      <c r="Q847" s="75"/>
      <c r="S847" s="72"/>
    </row>
    <row r="848">
      <c r="A848" s="75"/>
      <c r="B848" s="75"/>
      <c r="E848" s="72"/>
      <c r="M848" s="74"/>
      <c r="P848" s="75"/>
      <c r="Q848" s="75"/>
      <c r="S848" s="72"/>
    </row>
    <row r="849">
      <c r="A849" s="75"/>
      <c r="B849" s="75"/>
      <c r="E849" s="72"/>
      <c r="M849" s="74"/>
      <c r="P849" s="75"/>
      <c r="Q849" s="75"/>
      <c r="S849" s="72"/>
    </row>
    <row r="850">
      <c r="A850" s="75"/>
      <c r="B850" s="75"/>
      <c r="E850" s="72"/>
      <c r="M850" s="74"/>
      <c r="P850" s="75"/>
      <c r="Q850" s="75"/>
      <c r="S850" s="72"/>
    </row>
    <row r="851">
      <c r="A851" s="75"/>
      <c r="B851" s="75"/>
      <c r="E851" s="72"/>
      <c r="M851" s="74"/>
      <c r="P851" s="75"/>
      <c r="Q851" s="75"/>
      <c r="S851" s="72"/>
    </row>
    <row r="852">
      <c r="A852" s="75"/>
      <c r="B852" s="75"/>
      <c r="E852" s="72"/>
      <c r="M852" s="74"/>
      <c r="P852" s="75"/>
      <c r="Q852" s="75"/>
      <c r="S852" s="72"/>
    </row>
    <row r="853">
      <c r="A853" s="75"/>
      <c r="B853" s="75"/>
      <c r="E853" s="72"/>
      <c r="M853" s="74"/>
      <c r="P853" s="75"/>
      <c r="Q853" s="75"/>
      <c r="S853" s="72"/>
    </row>
    <row r="854">
      <c r="A854" s="75"/>
      <c r="B854" s="75"/>
      <c r="E854" s="72"/>
      <c r="M854" s="74"/>
      <c r="P854" s="75"/>
      <c r="Q854" s="75"/>
      <c r="S854" s="72"/>
    </row>
    <row r="855">
      <c r="A855" s="75"/>
      <c r="B855" s="75"/>
      <c r="E855" s="72"/>
      <c r="M855" s="74"/>
      <c r="P855" s="75"/>
      <c r="Q855" s="75"/>
      <c r="S855" s="72"/>
    </row>
    <row r="856">
      <c r="A856" s="75"/>
      <c r="B856" s="75"/>
      <c r="E856" s="72"/>
      <c r="M856" s="74"/>
      <c r="P856" s="75"/>
      <c r="Q856" s="75"/>
      <c r="S856" s="72"/>
    </row>
    <row r="857">
      <c r="A857" s="75"/>
      <c r="B857" s="75"/>
      <c r="E857" s="72"/>
      <c r="M857" s="74"/>
      <c r="P857" s="75"/>
      <c r="Q857" s="75"/>
      <c r="S857" s="72"/>
    </row>
    <row r="858">
      <c r="A858" s="75"/>
      <c r="B858" s="75"/>
      <c r="E858" s="72"/>
      <c r="M858" s="74"/>
      <c r="P858" s="75"/>
      <c r="Q858" s="75"/>
      <c r="S858" s="72"/>
    </row>
    <row r="859">
      <c r="A859" s="75"/>
      <c r="B859" s="75"/>
      <c r="E859" s="72"/>
      <c r="M859" s="74"/>
      <c r="P859" s="75"/>
      <c r="Q859" s="75"/>
      <c r="S859" s="72"/>
    </row>
    <row r="860">
      <c r="A860" s="75"/>
      <c r="B860" s="75"/>
      <c r="E860" s="72"/>
      <c r="M860" s="74"/>
      <c r="P860" s="75"/>
      <c r="Q860" s="75"/>
      <c r="S860" s="72"/>
    </row>
    <row r="861">
      <c r="A861" s="75"/>
      <c r="B861" s="75"/>
      <c r="E861" s="72"/>
      <c r="M861" s="74"/>
      <c r="P861" s="75"/>
      <c r="Q861" s="75"/>
      <c r="S861" s="72"/>
    </row>
    <row r="862">
      <c r="A862" s="75"/>
      <c r="B862" s="75"/>
      <c r="E862" s="72"/>
      <c r="M862" s="74"/>
      <c r="P862" s="75"/>
      <c r="Q862" s="75"/>
      <c r="S862" s="72"/>
    </row>
    <row r="863">
      <c r="A863" s="75"/>
      <c r="B863" s="75"/>
      <c r="E863" s="72"/>
      <c r="M863" s="74"/>
      <c r="P863" s="75"/>
      <c r="Q863" s="75"/>
      <c r="S863" s="72"/>
    </row>
    <row r="864">
      <c r="A864" s="75"/>
      <c r="B864" s="75"/>
      <c r="E864" s="72"/>
      <c r="M864" s="74"/>
      <c r="P864" s="75"/>
      <c r="Q864" s="75"/>
      <c r="S864" s="72"/>
    </row>
    <row r="865">
      <c r="A865" s="75"/>
      <c r="B865" s="75"/>
      <c r="E865" s="72"/>
      <c r="M865" s="74"/>
      <c r="P865" s="75"/>
      <c r="Q865" s="75"/>
      <c r="S865" s="72"/>
    </row>
    <row r="866">
      <c r="A866" s="75"/>
      <c r="B866" s="75"/>
      <c r="E866" s="72"/>
      <c r="M866" s="74"/>
      <c r="P866" s="75"/>
      <c r="Q866" s="75"/>
      <c r="S866" s="72"/>
    </row>
    <row r="867">
      <c r="A867" s="75"/>
      <c r="B867" s="75"/>
      <c r="E867" s="72"/>
      <c r="M867" s="74"/>
      <c r="P867" s="75"/>
      <c r="Q867" s="75"/>
      <c r="S867" s="72"/>
    </row>
    <row r="868">
      <c r="A868" s="75"/>
      <c r="B868" s="75"/>
      <c r="E868" s="72"/>
      <c r="M868" s="74"/>
      <c r="P868" s="75"/>
      <c r="Q868" s="75"/>
      <c r="S868" s="72"/>
    </row>
    <row r="869">
      <c r="A869" s="75"/>
      <c r="B869" s="75"/>
      <c r="E869" s="72"/>
      <c r="M869" s="74"/>
      <c r="P869" s="75"/>
      <c r="Q869" s="75"/>
      <c r="S869" s="72"/>
    </row>
    <row r="870">
      <c r="A870" s="75"/>
      <c r="B870" s="75"/>
      <c r="E870" s="72"/>
      <c r="M870" s="74"/>
      <c r="P870" s="75"/>
      <c r="Q870" s="75"/>
      <c r="S870" s="72"/>
    </row>
    <row r="871">
      <c r="A871" s="75"/>
      <c r="B871" s="75"/>
      <c r="E871" s="72"/>
      <c r="M871" s="74"/>
      <c r="P871" s="75"/>
      <c r="Q871" s="75"/>
      <c r="S871" s="72"/>
    </row>
    <row r="872">
      <c r="A872" s="75"/>
      <c r="B872" s="75"/>
      <c r="E872" s="72"/>
      <c r="M872" s="74"/>
      <c r="P872" s="75"/>
      <c r="Q872" s="75"/>
      <c r="S872" s="72"/>
    </row>
    <row r="873">
      <c r="A873" s="75"/>
      <c r="B873" s="75"/>
      <c r="E873" s="72"/>
      <c r="M873" s="74"/>
      <c r="P873" s="75"/>
      <c r="Q873" s="75"/>
      <c r="S873" s="72"/>
    </row>
    <row r="874">
      <c r="A874" s="75"/>
      <c r="B874" s="75"/>
      <c r="E874" s="72"/>
      <c r="M874" s="74"/>
      <c r="P874" s="75"/>
      <c r="Q874" s="75"/>
      <c r="S874" s="72"/>
    </row>
    <row r="875">
      <c r="A875" s="75"/>
      <c r="B875" s="75"/>
      <c r="E875" s="72"/>
      <c r="M875" s="74"/>
      <c r="P875" s="75"/>
      <c r="Q875" s="75"/>
      <c r="S875" s="72"/>
    </row>
    <row r="876">
      <c r="A876" s="75"/>
      <c r="B876" s="75"/>
      <c r="E876" s="72"/>
      <c r="M876" s="74"/>
      <c r="P876" s="75"/>
      <c r="Q876" s="75"/>
      <c r="S876" s="72"/>
    </row>
    <row r="877">
      <c r="A877" s="75"/>
      <c r="B877" s="75"/>
      <c r="E877" s="72"/>
      <c r="M877" s="74"/>
      <c r="P877" s="75"/>
      <c r="Q877" s="75"/>
      <c r="S877" s="72"/>
    </row>
    <row r="878">
      <c r="A878" s="75"/>
      <c r="B878" s="75"/>
      <c r="E878" s="72"/>
      <c r="M878" s="74"/>
      <c r="P878" s="75"/>
      <c r="Q878" s="75"/>
      <c r="S878" s="72"/>
    </row>
    <row r="879">
      <c r="A879" s="75"/>
      <c r="B879" s="75"/>
      <c r="E879" s="72"/>
      <c r="M879" s="74"/>
      <c r="P879" s="75"/>
      <c r="Q879" s="75"/>
      <c r="S879" s="72"/>
    </row>
    <row r="880">
      <c r="A880" s="75"/>
      <c r="B880" s="75"/>
      <c r="E880" s="72"/>
      <c r="M880" s="74"/>
      <c r="P880" s="75"/>
      <c r="Q880" s="75"/>
      <c r="S880" s="72"/>
    </row>
    <row r="881">
      <c r="A881" s="75"/>
      <c r="B881" s="75"/>
      <c r="E881" s="72"/>
      <c r="M881" s="74"/>
      <c r="P881" s="75"/>
      <c r="Q881" s="75"/>
      <c r="S881" s="72"/>
    </row>
    <row r="882">
      <c r="A882" s="75"/>
      <c r="B882" s="75"/>
      <c r="E882" s="72"/>
      <c r="M882" s="74"/>
      <c r="P882" s="75"/>
      <c r="Q882" s="75"/>
      <c r="S882" s="72"/>
    </row>
    <row r="883">
      <c r="A883" s="75"/>
      <c r="B883" s="75"/>
      <c r="E883" s="72"/>
      <c r="M883" s="74"/>
      <c r="P883" s="75"/>
      <c r="Q883" s="75"/>
      <c r="S883" s="72"/>
    </row>
    <row r="884">
      <c r="A884" s="75"/>
      <c r="B884" s="75"/>
      <c r="E884" s="72"/>
      <c r="M884" s="74"/>
      <c r="P884" s="75"/>
      <c r="Q884" s="75"/>
      <c r="S884" s="72"/>
    </row>
    <row r="885">
      <c r="A885" s="75"/>
      <c r="B885" s="75"/>
      <c r="E885" s="72"/>
      <c r="M885" s="74"/>
      <c r="P885" s="75"/>
      <c r="Q885" s="75"/>
      <c r="S885" s="72"/>
    </row>
    <row r="886">
      <c r="A886" s="75"/>
      <c r="B886" s="75"/>
      <c r="E886" s="72"/>
      <c r="M886" s="74"/>
      <c r="P886" s="75"/>
      <c r="Q886" s="75"/>
      <c r="S886" s="72"/>
    </row>
    <row r="887">
      <c r="A887" s="75"/>
      <c r="B887" s="75"/>
      <c r="E887" s="72"/>
      <c r="M887" s="74"/>
      <c r="P887" s="75"/>
      <c r="Q887" s="75"/>
      <c r="S887" s="72"/>
    </row>
    <row r="888">
      <c r="A888" s="75"/>
      <c r="B888" s="75"/>
      <c r="E888" s="72"/>
      <c r="M888" s="74"/>
      <c r="P888" s="75"/>
      <c r="Q888" s="75"/>
      <c r="S888" s="72"/>
    </row>
    <row r="889">
      <c r="A889" s="75"/>
      <c r="B889" s="75"/>
      <c r="E889" s="72"/>
      <c r="M889" s="74"/>
      <c r="P889" s="75"/>
      <c r="Q889" s="75"/>
      <c r="S889" s="72"/>
    </row>
    <row r="890">
      <c r="A890" s="75"/>
      <c r="B890" s="75"/>
      <c r="E890" s="72"/>
      <c r="M890" s="74"/>
      <c r="P890" s="75"/>
      <c r="Q890" s="75"/>
      <c r="S890" s="72"/>
    </row>
    <row r="891">
      <c r="A891" s="75"/>
      <c r="B891" s="75"/>
      <c r="E891" s="72"/>
      <c r="M891" s="74"/>
      <c r="P891" s="75"/>
      <c r="Q891" s="75"/>
      <c r="S891" s="72"/>
    </row>
    <row r="892">
      <c r="A892" s="75"/>
      <c r="B892" s="75"/>
      <c r="E892" s="72"/>
      <c r="M892" s="74"/>
      <c r="P892" s="75"/>
      <c r="Q892" s="75"/>
      <c r="S892" s="72"/>
    </row>
    <row r="893">
      <c r="A893" s="75"/>
      <c r="B893" s="75"/>
      <c r="E893" s="72"/>
      <c r="M893" s="74"/>
      <c r="P893" s="75"/>
      <c r="Q893" s="75"/>
      <c r="S893" s="72"/>
    </row>
    <row r="894">
      <c r="A894" s="75"/>
      <c r="B894" s="75"/>
      <c r="E894" s="72"/>
      <c r="M894" s="74"/>
      <c r="P894" s="75"/>
      <c r="Q894" s="75"/>
      <c r="S894" s="72"/>
    </row>
    <row r="895">
      <c r="A895" s="75"/>
      <c r="B895" s="75"/>
      <c r="E895" s="72"/>
      <c r="M895" s="74"/>
      <c r="P895" s="75"/>
      <c r="Q895" s="75"/>
      <c r="S895" s="72"/>
    </row>
    <row r="896">
      <c r="A896" s="75"/>
      <c r="B896" s="75"/>
      <c r="E896" s="72"/>
      <c r="M896" s="74"/>
      <c r="P896" s="75"/>
      <c r="Q896" s="75"/>
      <c r="S896" s="72"/>
    </row>
    <row r="897">
      <c r="A897" s="75"/>
      <c r="B897" s="75"/>
      <c r="E897" s="72"/>
      <c r="M897" s="74"/>
      <c r="P897" s="75"/>
      <c r="Q897" s="75"/>
      <c r="S897" s="72"/>
    </row>
    <row r="898">
      <c r="A898" s="75"/>
      <c r="B898" s="75"/>
      <c r="E898" s="72"/>
      <c r="M898" s="74"/>
      <c r="P898" s="75"/>
      <c r="Q898" s="75"/>
      <c r="S898" s="72"/>
    </row>
    <row r="899">
      <c r="A899" s="75"/>
      <c r="B899" s="75"/>
      <c r="E899" s="72"/>
      <c r="M899" s="74"/>
      <c r="P899" s="75"/>
      <c r="Q899" s="75"/>
      <c r="S899" s="72"/>
    </row>
    <row r="900">
      <c r="A900" s="75"/>
      <c r="B900" s="75"/>
      <c r="E900" s="72"/>
      <c r="M900" s="74"/>
      <c r="P900" s="75"/>
      <c r="Q900" s="75"/>
      <c r="S900" s="72"/>
    </row>
    <row r="901">
      <c r="A901" s="75"/>
      <c r="B901" s="75"/>
      <c r="E901" s="72"/>
      <c r="M901" s="74"/>
      <c r="P901" s="75"/>
      <c r="Q901" s="75"/>
      <c r="S901" s="72"/>
    </row>
    <row r="902">
      <c r="A902" s="75"/>
      <c r="B902" s="75"/>
      <c r="E902" s="72"/>
      <c r="M902" s="74"/>
      <c r="P902" s="75"/>
      <c r="Q902" s="75"/>
      <c r="S902" s="72"/>
    </row>
    <row r="903">
      <c r="A903" s="75"/>
      <c r="B903" s="75"/>
      <c r="E903" s="72"/>
      <c r="M903" s="74"/>
      <c r="P903" s="75"/>
      <c r="Q903" s="75"/>
      <c r="S903" s="72"/>
    </row>
    <row r="904">
      <c r="A904" s="75"/>
      <c r="B904" s="75"/>
      <c r="E904" s="72"/>
      <c r="M904" s="74"/>
      <c r="P904" s="75"/>
      <c r="Q904" s="75"/>
      <c r="S904" s="72"/>
    </row>
    <row r="905">
      <c r="A905" s="75"/>
      <c r="B905" s="75"/>
      <c r="E905" s="72"/>
      <c r="M905" s="74"/>
      <c r="P905" s="75"/>
      <c r="Q905" s="75"/>
      <c r="S905" s="72"/>
    </row>
    <row r="906">
      <c r="A906" s="75"/>
      <c r="B906" s="75"/>
      <c r="E906" s="72"/>
      <c r="M906" s="74"/>
      <c r="P906" s="75"/>
      <c r="Q906" s="75"/>
      <c r="S906" s="72"/>
    </row>
    <row r="907">
      <c r="A907" s="75"/>
      <c r="B907" s="75"/>
      <c r="E907" s="72"/>
      <c r="M907" s="74"/>
      <c r="P907" s="75"/>
      <c r="Q907" s="75"/>
      <c r="S907" s="72"/>
    </row>
    <row r="908">
      <c r="A908" s="75"/>
      <c r="B908" s="75"/>
      <c r="E908" s="72"/>
      <c r="M908" s="74"/>
      <c r="P908" s="75"/>
      <c r="Q908" s="75"/>
      <c r="S908" s="72"/>
    </row>
    <row r="909">
      <c r="A909" s="75"/>
      <c r="B909" s="75"/>
      <c r="E909" s="72"/>
      <c r="M909" s="74"/>
      <c r="P909" s="75"/>
      <c r="Q909" s="75"/>
      <c r="S909" s="72"/>
    </row>
    <row r="910">
      <c r="A910" s="75"/>
      <c r="B910" s="75"/>
      <c r="E910" s="72"/>
      <c r="M910" s="74"/>
      <c r="P910" s="75"/>
      <c r="Q910" s="75"/>
      <c r="S910" s="72"/>
    </row>
    <row r="911">
      <c r="A911" s="75"/>
      <c r="B911" s="75"/>
      <c r="E911" s="72"/>
      <c r="M911" s="74"/>
      <c r="P911" s="75"/>
      <c r="Q911" s="75"/>
      <c r="S911" s="72"/>
    </row>
    <row r="912">
      <c r="A912" s="75"/>
      <c r="B912" s="75"/>
      <c r="E912" s="72"/>
      <c r="M912" s="74"/>
      <c r="P912" s="75"/>
      <c r="Q912" s="75"/>
      <c r="S912" s="72"/>
    </row>
    <row r="913">
      <c r="A913" s="75"/>
      <c r="B913" s="75"/>
      <c r="E913" s="72"/>
      <c r="M913" s="74"/>
      <c r="P913" s="75"/>
      <c r="Q913" s="75"/>
      <c r="S913" s="72"/>
    </row>
    <row r="914">
      <c r="A914" s="75"/>
      <c r="B914" s="75"/>
      <c r="E914" s="72"/>
      <c r="M914" s="74"/>
      <c r="P914" s="75"/>
      <c r="Q914" s="75"/>
      <c r="S914" s="72"/>
    </row>
    <row r="915">
      <c r="A915" s="75"/>
      <c r="B915" s="75"/>
      <c r="E915" s="72"/>
      <c r="M915" s="74"/>
      <c r="P915" s="75"/>
      <c r="Q915" s="75"/>
      <c r="S915" s="72"/>
    </row>
    <row r="916">
      <c r="A916" s="75"/>
      <c r="B916" s="75"/>
      <c r="E916" s="72"/>
      <c r="M916" s="74"/>
      <c r="P916" s="75"/>
      <c r="Q916" s="75"/>
      <c r="S916" s="72"/>
    </row>
    <row r="917">
      <c r="A917" s="75"/>
      <c r="B917" s="75"/>
      <c r="E917" s="72"/>
      <c r="M917" s="74"/>
      <c r="P917" s="75"/>
      <c r="Q917" s="75"/>
      <c r="S917" s="72"/>
    </row>
    <row r="918">
      <c r="A918" s="75"/>
      <c r="B918" s="75"/>
      <c r="E918" s="72"/>
      <c r="M918" s="74"/>
      <c r="P918" s="75"/>
      <c r="Q918" s="75"/>
      <c r="S918" s="72"/>
    </row>
    <row r="919">
      <c r="A919" s="75"/>
      <c r="B919" s="75"/>
      <c r="E919" s="72"/>
      <c r="M919" s="74"/>
      <c r="P919" s="75"/>
      <c r="Q919" s="75"/>
      <c r="S919" s="72"/>
    </row>
    <row r="920">
      <c r="A920" s="75"/>
      <c r="B920" s="75"/>
      <c r="E920" s="72"/>
      <c r="M920" s="74"/>
      <c r="P920" s="75"/>
      <c r="Q920" s="75"/>
      <c r="S920" s="72"/>
    </row>
    <row r="921">
      <c r="A921" s="75"/>
      <c r="B921" s="75"/>
      <c r="E921" s="72"/>
      <c r="M921" s="74"/>
      <c r="P921" s="75"/>
      <c r="Q921" s="75"/>
      <c r="S921" s="72"/>
    </row>
    <row r="922">
      <c r="A922" s="75"/>
      <c r="B922" s="75"/>
      <c r="E922" s="72"/>
      <c r="M922" s="74"/>
      <c r="P922" s="75"/>
      <c r="Q922" s="75"/>
      <c r="S922" s="72"/>
    </row>
    <row r="923">
      <c r="A923" s="75"/>
      <c r="B923" s="75"/>
      <c r="E923" s="72"/>
      <c r="M923" s="74"/>
      <c r="P923" s="75"/>
      <c r="Q923" s="75"/>
      <c r="S923" s="72"/>
    </row>
    <row r="924">
      <c r="A924" s="75"/>
      <c r="B924" s="75"/>
      <c r="E924" s="72"/>
      <c r="M924" s="74"/>
      <c r="P924" s="75"/>
      <c r="Q924" s="75"/>
      <c r="S924" s="72"/>
    </row>
    <row r="925">
      <c r="A925" s="75"/>
      <c r="B925" s="75"/>
      <c r="E925" s="72"/>
      <c r="M925" s="74"/>
      <c r="P925" s="75"/>
      <c r="Q925" s="75"/>
      <c r="S925" s="72"/>
    </row>
    <row r="926">
      <c r="A926" s="75"/>
      <c r="B926" s="75"/>
      <c r="E926" s="72"/>
      <c r="M926" s="74"/>
      <c r="P926" s="75"/>
      <c r="Q926" s="75"/>
      <c r="S926" s="72"/>
    </row>
    <row r="927">
      <c r="A927" s="75"/>
      <c r="B927" s="75"/>
      <c r="E927" s="72"/>
      <c r="M927" s="74"/>
      <c r="P927" s="75"/>
      <c r="Q927" s="75"/>
      <c r="S927" s="72"/>
    </row>
    <row r="928">
      <c r="A928" s="75"/>
      <c r="B928" s="75"/>
      <c r="E928" s="72"/>
      <c r="M928" s="74"/>
      <c r="P928" s="75"/>
      <c r="Q928" s="75"/>
      <c r="S928" s="72"/>
    </row>
    <row r="929">
      <c r="A929" s="75"/>
      <c r="B929" s="75"/>
      <c r="E929" s="72"/>
      <c r="M929" s="74"/>
      <c r="P929" s="75"/>
      <c r="Q929" s="75"/>
      <c r="S929" s="72"/>
    </row>
    <row r="930">
      <c r="A930" s="75"/>
      <c r="B930" s="75"/>
      <c r="E930" s="72"/>
      <c r="M930" s="74"/>
      <c r="P930" s="75"/>
      <c r="Q930" s="75"/>
      <c r="S930" s="72"/>
    </row>
    <row r="931">
      <c r="A931" s="75"/>
      <c r="B931" s="75"/>
      <c r="E931" s="72"/>
      <c r="M931" s="74"/>
      <c r="P931" s="75"/>
      <c r="Q931" s="75"/>
      <c r="S931" s="72"/>
    </row>
    <row r="932">
      <c r="A932" s="75"/>
      <c r="B932" s="75"/>
      <c r="E932" s="72"/>
      <c r="M932" s="74"/>
      <c r="P932" s="75"/>
      <c r="Q932" s="75"/>
      <c r="S932" s="72"/>
    </row>
    <row r="933">
      <c r="A933" s="75"/>
      <c r="B933" s="75"/>
      <c r="E933" s="72"/>
      <c r="M933" s="74"/>
      <c r="P933" s="75"/>
      <c r="Q933" s="75"/>
      <c r="S933" s="72"/>
    </row>
    <row r="934">
      <c r="A934" s="75"/>
      <c r="B934" s="75"/>
      <c r="E934" s="72"/>
      <c r="M934" s="74"/>
      <c r="P934" s="75"/>
      <c r="Q934" s="75"/>
      <c r="S934" s="72"/>
    </row>
    <row r="935">
      <c r="A935" s="75"/>
      <c r="B935" s="75"/>
      <c r="E935" s="72"/>
      <c r="M935" s="74"/>
      <c r="P935" s="75"/>
      <c r="Q935" s="75"/>
      <c r="S935" s="72"/>
    </row>
    <row r="936">
      <c r="A936" s="75"/>
      <c r="B936" s="75"/>
      <c r="E936" s="72"/>
      <c r="M936" s="74"/>
      <c r="P936" s="75"/>
      <c r="Q936" s="75"/>
      <c r="S936" s="72"/>
    </row>
    <row r="937">
      <c r="A937" s="75"/>
      <c r="B937" s="75"/>
      <c r="E937" s="72"/>
      <c r="M937" s="74"/>
      <c r="P937" s="75"/>
      <c r="Q937" s="75"/>
      <c r="S937" s="72"/>
    </row>
    <row r="938">
      <c r="A938" s="75"/>
      <c r="B938" s="75"/>
      <c r="E938" s="72"/>
      <c r="M938" s="74"/>
      <c r="P938" s="75"/>
      <c r="Q938" s="75"/>
      <c r="S938" s="72"/>
    </row>
    <row r="939">
      <c r="A939" s="75"/>
      <c r="B939" s="75"/>
      <c r="E939" s="72"/>
      <c r="M939" s="74"/>
      <c r="P939" s="75"/>
      <c r="Q939" s="75"/>
      <c r="S939" s="72"/>
    </row>
    <row r="940">
      <c r="A940" s="75"/>
      <c r="B940" s="75"/>
      <c r="E940" s="72"/>
      <c r="M940" s="74"/>
      <c r="P940" s="75"/>
      <c r="Q940" s="75"/>
      <c r="S940" s="72"/>
    </row>
    <row r="941">
      <c r="A941" s="75"/>
      <c r="B941" s="75"/>
      <c r="E941" s="72"/>
      <c r="M941" s="74"/>
      <c r="P941" s="75"/>
      <c r="Q941" s="75"/>
      <c r="S941" s="72"/>
    </row>
    <row r="942">
      <c r="A942" s="75"/>
      <c r="B942" s="75"/>
      <c r="E942" s="72"/>
      <c r="M942" s="74"/>
      <c r="P942" s="75"/>
      <c r="Q942" s="75"/>
      <c r="S942" s="72"/>
    </row>
    <row r="943">
      <c r="A943" s="75"/>
      <c r="B943" s="75"/>
      <c r="E943" s="72"/>
      <c r="M943" s="74"/>
      <c r="P943" s="75"/>
      <c r="Q943" s="75"/>
      <c r="S943" s="72"/>
    </row>
    <row r="944">
      <c r="A944" s="75"/>
      <c r="B944" s="75"/>
      <c r="E944" s="72"/>
      <c r="M944" s="74"/>
      <c r="P944" s="75"/>
      <c r="Q944" s="75"/>
      <c r="S944" s="72"/>
    </row>
    <row r="945">
      <c r="A945" s="75"/>
      <c r="B945" s="75"/>
      <c r="E945" s="72"/>
      <c r="M945" s="74"/>
      <c r="P945" s="75"/>
      <c r="Q945" s="75"/>
      <c r="S945" s="72"/>
    </row>
    <row r="946">
      <c r="A946" s="75"/>
      <c r="B946" s="75"/>
      <c r="E946" s="72"/>
      <c r="M946" s="74"/>
      <c r="P946" s="75"/>
      <c r="Q946" s="75"/>
      <c r="S946" s="72"/>
    </row>
    <row r="947">
      <c r="A947" s="75"/>
      <c r="B947" s="75"/>
      <c r="E947" s="72"/>
      <c r="M947" s="74"/>
      <c r="P947" s="75"/>
      <c r="Q947" s="75"/>
      <c r="S947" s="72"/>
    </row>
    <row r="948">
      <c r="A948" s="75"/>
      <c r="B948" s="75"/>
      <c r="E948" s="72"/>
      <c r="M948" s="74"/>
      <c r="P948" s="75"/>
      <c r="Q948" s="75"/>
      <c r="S948" s="72"/>
    </row>
    <row r="949">
      <c r="A949" s="75"/>
      <c r="B949" s="75"/>
      <c r="E949" s="72"/>
      <c r="M949" s="74"/>
      <c r="P949" s="75"/>
      <c r="Q949" s="75"/>
      <c r="S949" s="72"/>
    </row>
    <row r="950">
      <c r="A950" s="75"/>
      <c r="B950" s="75"/>
      <c r="E950" s="72"/>
      <c r="M950" s="74"/>
      <c r="P950" s="75"/>
      <c r="Q950" s="75"/>
      <c r="S950" s="72"/>
    </row>
    <row r="951">
      <c r="A951" s="75"/>
      <c r="B951" s="75"/>
      <c r="E951" s="72"/>
      <c r="M951" s="74"/>
      <c r="P951" s="75"/>
      <c r="Q951" s="75"/>
      <c r="S951" s="72"/>
    </row>
    <row r="952">
      <c r="A952" s="75"/>
      <c r="B952" s="75"/>
      <c r="E952" s="72"/>
      <c r="M952" s="74"/>
      <c r="P952" s="75"/>
      <c r="Q952" s="75"/>
      <c r="S952" s="72"/>
    </row>
    <row r="953">
      <c r="A953" s="75"/>
      <c r="B953" s="75"/>
      <c r="E953" s="72"/>
      <c r="M953" s="74"/>
      <c r="P953" s="75"/>
      <c r="Q953" s="75"/>
      <c r="S953" s="72"/>
    </row>
    <row r="954">
      <c r="A954" s="75"/>
      <c r="B954" s="75"/>
      <c r="E954" s="72"/>
      <c r="M954" s="74"/>
      <c r="P954" s="75"/>
      <c r="Q954" s="75"/>
      <c r="S954" s="72"/>
    </row>
    <row r="955">
      <c r="A955" s="75"/>
      <c r="B955" s="75"/>
      <c r="E955" s="72"/>
      <c r="M955" s="74"/>
      <c r="P955" s="75"/>
      <c r="Q955" s="75"/>
      <c r="S955" s="72"/>
    </row>
    <row r="956">
      <c r="A956" s="75"/>
      <c r="B956" s="75"/>
      <c r="E956" s="72"/>
      <c r="M956" s="74"/>
      <c r="P956" s="75"/>
      <c r="Q956" s="75"/>
      <c r="S956" s="72"/>
    </row>
    <row r="957">
      <c r="A957" s="75"/>
      <c r="B957" s="75"/>
      <c r="E957" s="72"/>
      <c r="M957" s="74"/>
      <c r="P957" s="75"/>
      <c r="Q957" s="75"/>
      <c r="S957" s="72"/>
    </row>
    <row r="958">
      <c r="A958" s="75"/>
      <c r="B958" s="75"/>
      <c r="E958" s="72"/>
      <c r="M958" s="74"/>
      <c r="P958" s="75"/>
      <c r="Q958" s="75"/>
      <c r="S958" s="72"/>
    </row>
    <row r="959">
      <c r="A959" s="75"/>
      <c r="B959" s="75"/>
      <c r="E959" s="72"/>
      <c r="M959" s="74"/>
      <c r="P959" s="75"/>
      <c r="Q959" s="75"/>
      <c r="S959" s="72"/>
    </row>
    <row r="960">
      <c r="A960" s="75"/>
      <c r="B960" s="75"/>
      <c r="E960" s="72"/>
      <c r="M960" s="74"/>
      <c r="P960" s="75"/>
      <c r="Q960" s="75"/>
      <c r="S960" s="72"/>
    </row>
    <row r="961">
      <c r="A961" s="75"/>
      <c r="B961" s="75"/>
      <c r="E961" s="72"/>
      <c r="M961" s="74"/>
      <c r="P961" s="75"/>
      <c r="Q961" s="75"/>
      <c r="S961" s="72"/>
    </row>
    <row r="962">
      <c r="A962" s="75"/>
      <c r="B962" s="75"/>
      <c r="E962" s="72"/>
      <c r="M962" s="74"/>
      <c r="P962" s="75"/>
      <c r="Q962" s="75"/>
      <c r="S962" s="72"/>
    </row>
    <row r="963">
      <c r="A963" s="75"/>
      <c r="B963" s="75"/>
      <c r="E963" s="72"/>
      <c r="M963" s="74"/>
      <c r="P963" s="75"/>
      <c r="Q963" s="75"/>
      <c r="S963" s="72"/>
    </row>
    <row r="964">
      <c r="A964" s="75"/>
      <c r="B964" s="75"/>
      <c r="E964" s="72"/>
      <c r="M964" s="74"/>
      <c r="P964" s="75"/>
      <c r="Q964" s="75"/>
      <c r="S964" s="72"/>
    </row>
    <row r="965">
      <c r="A965" s="75"/>
      <c r="B965" s="75"/>
      <c r="E965" s="72"/>
      <c r="M965" s="74"/>
      <c r="P965" s="75"/>
      <c r="Q965" s="75"/>
      <c r="S965" s="72"/>
    </row>
    <row r="966">
      <c r="A966" s="75"/>
      <c r="B966" s="75"/>
      <c r="E966" s="72"/>
      <c r="M966" s="74"/>
      <c r="P966" s="75"/>
      <c r="Q966" s="75"/>
      <c r="S966" s="72"/>
    </row>
    <row r="967">
      <c r="A967" s="75"/>
      <c r="B967" s="75"/>
      <c r="E967" s="72"/>
      <c r="M967" s="74"/>
      <c r="P967" s="75"/>
      <c r="Q967" s="75"/>
      <c r="S967" s="72"/>
    </row>
    <row r="968">
      <c r="A968" s="75"/>
      <c r="B968" s="75"/>
      <c r="E968" s="72"/>
      <c r="M968" s="74"/>
      <c r="P968" s="75"/>
      <c r="Q968" s="75"/>
      <c r="S968" s="72"/>
    </row>
    <row r="969">
      <c r="A969" s="75"/>
      <c r="B969" s="75"/>
      <c r="E969" s="72"/>
      <c r="M969" s="74"/>
      <c r="P969" s="75"/>
      <c r="Q969" s="75"/>
      <c r="S969" s="72"/>
    </row>
    <row r="970">
      <c r="A970" s="75"/>
      <c r="B970" s="75"/>
      <c r="E970" s="72"/>
      <c r="M970" s="74"/>
      <c r="P970" s="75"/>
      <c r="Q970" s="75"/>
      <c r="S970" s="72"/>
    </row>
    <row r="971">
      <c r="A971" s="75"/>
      <c r="B971" s="75"/>
      <c r="E971" s="72"/>
      <c r="M971" s="74"/>
      <c r="P971" s="75"/>
      <c r="Q971" s="75"/>
      <c r="S971" s="72"/>
    </row>
    <row r="972">
      <c r="A972" s="75"/>
      <c r="B972" s="75"/>
      <c r="E972" s="72"/>
      <c r="M972" s="74"/>
      <c r="P972" s="75"/>
      <c r="Q972" s="75"/>
      <c r="S972" s="72"/>
    </row>
    <row r="973">
      <c r="A973" s="75"/>
      <c r="B973" s="75"/>
      <c r="E973" s="72"/>
      <c r="M973" s="74"/>
      <c r="P973" s="75"/>
      <c r="Q973" s="75"/>
      <c r="S973" s="72"/>
    </row>
    <row r="974">
      <c r="A974" s="75"/>
      <c r="B974" s="75"/>
      <c r="E974" s="72"/>
      <c r="M974" s="74"/>
      <c r="P974" s="75"/>
      <c r="Q974" s="75"/>
      <c r="S974" s="72"/>
    </row>
    <row r="975">
      <c r="A975" s="75"/>
      <c r="B975" s="75"/>
      <c r="E975" s="72"/>
      <c r="M975" s="74"/>
      <c r="P975" s="75"/>
      <c r="Q975" s="75"/>
      <c r="S975" s="72"/>
    </row>
    <row r="976">
      <c r="A976" s="75"/>
      <c r="B976" s="75"/>
      <c r="E976" s="72"/>
      <c r="M976" s="74"/>
      <c r="P976" s="75"/>
      <c r="Q976" s="75"/>
      <c r="S976" s="72"/>
    </row>
    <row r="977">
      <c r="A977" s="75"/>
      <c r="B977" s="75"/>
      <c r="E977" s="72"/>
      <c r="M977" s="74"/>
      <c r="P977" s="75"/>
      <c r="Q977" s="75"/>
      <c r="S977" s="72"/>
    </row>
    <row r="978">
      <c r="A978" s="75"/>
      <c r="B978" s="75"/>
      <c r="E978" s="72"/>
      <c r="M978" s="74"/>
      <c r="P978" s="75"/>
      <c r="Q978" s="75"/>
      <c r="S978" s="72"/>
    </row>
    <row r="979">
      <c r="A979" s="75"/>
      <c r="B979" s="75"/>
      <c r="E979" s="72"/>
      <c r="M979" s="74"/>
      <c r="P979" s="75"/>
      <c r="Q979" s="75"/>
      <c r="S979" s="72"/>
    </row>
    <row r="980">
      <c r="A980" s="75"/>
      <c r="B980" s="75"/>
      <c r="E980" s="72"/>
      <c r="M980" s="74"/>
      <c r="P980" s="75"/>
      <c r="Q980" s="75"/>
      <c r="S980" s="72"/>
    </row>
    <row r="981">
      <c r="A981" s="75"/>
      <c r="B981" s="75"/>
      <c r="E981" s="72"/>
      <c r="M981" s="74"/>
      <c r="P981" s="75"/>
      <c r="Q981" s="75"/>
      <c r="S981" s="72"/>
    </row>
    <row r="982">
      <c r="A982" s="75"/>
      <c r="B982" s="75"/>
      <c r="E982" s="72"/>
      <c r="M982" s="74"/>
      <c r="P982" s="75"/>
      <c r="Q982" s="75"/>
      <c r="S982" s="72"/>
    </row>
    <row r="983">
      <c r="A983" s="75"/>
      <c r="B983" s="75"/>
      <c r="E983" s="72"/>
      <c r="M983" s="74"/>
      <c r="P983" s="75"/>
      <c r="Q983" s="75"/>
      <c r="S983" s="72"/>
    </row>
    <row r="984">
      <c r="A984" s="75"/>
      <c r="B984" s="75"/>
      <c r="E984" s="72"/>
      <c r="M984" s="74"/>
      <c r="P984" s="75"/>
      <c r="Q984" s="75"/>
      <c r="S984" s="72"/>
    </row>
    <row r="985">
      <c r="A985" s="75"/>
      <c r="B985" s="75"/>
      <c r="E985" s="72"/>
      <c r="M985" s="74"/>
      <c r="P985" s="75"/>
      <c r="Q985" s="75"/>
      <c r="S985" s="72"/>
    </row>
    <row r="986">
      <c r="A986" s="75"/>
      <c r="B986" s="75"/>
      <c r="E986" s="72"/>
      <c r="M986" s="74"/>
      <c r="P986" s="75"/>
      <c r="Q986" s="75"/>
      <c r="S986" s="72"/>
    </row>
    <row r="987">
      <c r="A987" s="75"/>
      <c r="B987" s="75"/>
      <c r="E987" s="72"/>
      <c r="M987" s="74"/>
      <c r="P987" s="75"/>
      <c r="Q987" s="75"/>
      <c r="S987" s="72"/>
    </row>
    <row r="988">
      <c r="A988" s="75"/>
      <c r="B988" s="75"/>
      <c r="E988" s="72"/>
      <c r="M988" s="74"/>
      <c r="P988" s="75"/>
      <c r="Q988" s="75"/>
      <c r="S988" s="72"/>
    </row>
    <row r="989">
      <c r="A989" s="75"/>
      <c r="B989" s="75"/>
      <c r="E989" s="72"/>
      <c r="M989" s="74"/>
      <c r="P989" s="75"/>
      <c r="Q989" s="75"/>
      <c r="S989" s="72"/>
    </row>
    <row r="990">
      <c r="A990" s="75"/>
      <c r="B990" s="75"/>
      <c r="E990" s="72"/>
      <c r="M990" s="74"/>
      <c r="P990" s="75"/>
      <c r="Q990" s="75"/>
      <c r="S990" s="72"/>
    </row>
    <row r="991">
      <c r="A991" s="75"/>
      <c r="B991" s="75"/>
      <c r="E991" s="72"/>
      <c r="M991" s="74"/>
      <c r="P991" s="75"/>
      <c r="Q991" s="75"/>
      <c r="S991" s="72"/>
    </row>
    <row r="992">
      <c r="A992" s="75"/>
      <c r="B992" s="75"/>
      <c r="E992" s="72"/>
      <c r="M992" s="74"/>
      <c r="P992" s="75"/>
      <c r="Q992" s="75"/>
      <c r="S992" s="72"/>
    </row>
    <row r="993">
      <c r="A993" s="75"/>
      <c r="B993" s="75"/>
      <c r="E993" s="72"/>
      <c r="M993" s="74"/>
      <c r="P993" s="75"/>
      <c r="Q993" s="75"/>
      <c r="S993" s="72"/>
    </row>
    <row r="994">
      <c r="A994" s="75"/>
      <c r="B994" s="75"/>
      <c r="E994" s="72"/>
      <c r="M994" s="74"/>
      <c r="P994" s="75"/>
      <c r="Q994" s="75"/>
      <c r="S994" s="72"/>
    </row>
    <row r="995">
      <c r="A995" s="75"/>
      <c r="B995" s="75"/>
      <c r="E995" s="72"/>
      <c r="M995" s="74"/>
      <c r="P995" s="75"/>
      <c r="Q995" s="75"/>
      <c r="S995" s="72"/>
    </row>
    <row r="996">
      <c r="A996" s="75"/>
      <c r="B996" s="75"/>
      <c r="E996" s="72"/>
      <c r="M996" s="74"/>
      <c r="P996" s="75"/>
      <c r="Q996" s="75"/>
      <c r="S996" s="72"/>
    </row>
    <row r="997">
      <c r="A997" s="75"/>
      <c r="B997" s="75"/>
      <c r="E997" s="72"/>
      <c r="M997" s="74"/>
      <c r="P997" s="75"/>
      <c r="Q997" s="75"/>
      <c r="S997" s="72"/>
    </row>
    <row r="998">
      <c r="A998" s="75"/>
      <c r="B998" s="75"/>
      <c r="E998" s="72"/>
      <c r="M998" s="74"/>
      <c r="P998" s="75"/>
      <c r="Q998" s="75"/>
      <c r="S998" s="72"/>
    </row>
    <row r="999">
      <c r="A999" s="75"/>
      <c r="B999" s="75"/>
      <c r="E999" s="72"/>
      <c r="M999" s="74"/>
      <c r="P999" s="75"/>
      <c r="Q999" s="75"/>
      <c r="S999" s="72"/>
    </row>
    <row r="1000">
      <c r="A1000" s="75"/>
      <c r="B1000" s="75"/>
      <c r="E1000" s="72"/>
      <c r="M1000" s="74"/>
      <c r="P1000" s="75"/>
      <c r="Q1000" s="75"/>
      <c r="S1000" s="72"/>
    </row>
    <row r="1001">
      <c r="A1001" s="75"/>
      <c r="B1001" s="75"/>
      <c r="E1001" s="72"/>
      <c r="M1001" s="74"/>
      <c r="P1001" s="75"/>
      <c r="Q1001" s="75"/>
      <c r="S1001" s="72"/>
    </row>
    <row r="1002">
      <c r="A1002" s="75"/>
      <c r="B1002" s="75"/>
      <c r="E1002" s="72"/>
      <c r="M1002" s="74"/>
      <c r="P1002" s="75"/>
      <c r="Q1002" s="75"/>
      <c r="S1002" s="72"/>
    </row>
    <row r="1003">
      <c r="A1003" s="75"/>
      <c r="B1003" s="75"/>
      <c r="E1003" s="72"/>
      <c r="M1003" s="74"/>
    </row>
  </sheetData>
  <autoFilter ref="$J$8:$J$47"/>
  <mergeCells count="29">
    <mergeCell ref="D1:M2"/>
    <mergeCell ref="R1:U1"/>
    <mergeCell ref="D4:H4"/>
    <mergeCell ref="I4:J4"/>
    <mergeCell ref="D7:E7"/>
    <mergeCell ref="K7:L7"/>
    <mergeCell ref="C34:D34"/>
    <mergeCell ref="D35:E35"/>
    <mergeCell ref="D36:E36"/>
    <mergeCell ref="D37:E37"/>
    <mergeCell ref="D38:E38"/>
    <mergeCell ref="D39:E39"/>
    <mergeCell ref="D40:E40"/>
    <mergeCell ref="D41:E41"/>
    <mergeCell ref="D49:E49"/>
    <mergeCell ref="D50:E50"/>
    <mergeCell ref="D51:E51"/>
    <mergeCell ref="D52:E52"/>
    <mergeCell ref="D53:E53"/>
    <mergeCell ref="D54:E54"/>
    <mergeCell ref="D55:E55"/>
    <mergeCell ref="D56:E56"/>
    <mergeCell ref="D42:E42"/>
    <mergeCell ref="D43:E43"/>
    <mergeCell ref="D44:E44"/>
    <mergeCell ref="D45:E45"/>
    <mergeCell ref="D46:E46"/>
    <mergeCell ref="D47:E47"/>
    <mergeCell ref="D48:E48"/>
  </mergeCells>
  <dataValidations>
    <dataValidation type="list" allowBlank="1" showErrorMessage="1" sqref="B9:B32 J9:J47 A36:A56">
      <formula1>"106,108"</formula1>
    </dataValidation>
  </dataValidations>
  <drawing r:id="rId1"/>
</worksheet>
</file>