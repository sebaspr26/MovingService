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26FEB - 01 ABRIL" sheetId="2" r:id="rId6"/>
    <sheet state="visible" name="07 ABRIL - 04 MAY" sheetId="3" r:id="rId7"/>
    <sheet state="visible" name="13 MAY - ...." sheetId="4" r:id="rId8"/>
  </sheets>
  <definedNames>
    <definedName hidden="1" localSheetId="1" name="_xlnm._FilterDatabase">'26FEB - 01 ABRIL'!$N$2:$N$44</definedName>
    <definedName hidden="1" localSheetId="2" name="_xlnm._FilterDatabase">'07 ABRIL - 04 MAY'!$N$2:$N$67</definedName>
    <definedName hidden="1" localSheetId="3" name="_xlnm._FilterDatabase">'13 MAY - ....'!$N$2:$N$67</definedName>
  </definedNames>
  <calcPr/>
</workbook>
</file>

<file path=xl/sharedStrings.xml><?xml version="1.0" encoding="utf-8"?>
<sst xmlns="http://schemas.openxmlformats.org/spreadsheetml/2006/main" count="654" uniqueCount="304">
  <si>
    <t>DOWN TRAILER</t>
  </si>
  <si>
    <t>JAIRO /ANGELA</t>
  </si>
  <si>
    <t xml:space="preserve">MATEO </t>
  </si>
  <si>
    <t>SIMON</t>
  </si>
  <si>
    <t>TOTALES</t>
  </si>
  <si>
    <t>MENSUAL TRAIL</t>
  </si>
  <si>
    <t>PORCENTAJES</t>
  </si>
  <si>
    <t>REGISTRACION</t>
  </si>
  <si>
    <t>INVERTIDO</t>
  </si>
  <si>
    <t xml:space="preserve">PLACA CAMION </t>
  </si>
  <si>
    <t>PENDIENTE</t>
  </si>
  <si>
    <t>SEGURO</t>
  </si>
  <si>
    <t>NEVERA</t>
  </si>
  <si>
    <t>MICRO</t>
  </si>
  <si>
    <t>3K DIESEL</t>
  </si>
  <si>
    <t>CONVERSOR</t>
  </si>
  <si>
    <t>IPAD HOLDER</t>
  </si>
  <si>
    <t>LLANTA</t>
  </si>
  <si>
    <t>CAMARA</t>
  </si>
  <si>
    <t>INST CONVER</t>
  </si>
  <si>
    <t>TOTAL</t>
  </si>
  <si>
    <t>BALANCE FINAL</t>
  </si>
  <si>
    <t xml:space="preserve">ETG MOVING SERVICES </t>
  </si>
  <si>
    <t xml:space="preserve">CAJA </t>
  </si>
  <si>
    <t xml:space="preserve">JAIRO </t>
  </si>
  <si>
    <t xml:space="preserve">COMPANIA </t>
  </si>
  <si>
    <t>DESCRIPCION</t>
  </si>
  <si>
    <t>REFERENCIA</t>
  </si>
  <si>
    <t xml:space="preserve">DEBITO </t>
  </si>
  <si>
    <t xml:space="preserve">CREDITO </t>
  </si>
  <si>
    <t xml:space="preserve">FONDO </t>
  </si>
  <si>
    <t>TRUCK 109</t>
  </si>
  <si>
    <t xml:space="preserve">DIESEL </t>
  </si>
  <si>
    <t xml:space="preserve">25F - 3 M </t>
  </si>
  <si>
    <t>DIVIDENDOS</t>
  </si>
  <si>
    <t xml:space="preserve">DEF </t>
  </si>
  <si>
    <t xml:space="preserve">25F - 3M </t>
  </si>
  <si>
    <t>JAIRO (20%)</t>
  </si>
  <si>
    <t>ANGELA (20%)</t>
  </si>
  <si>
    <t>ORDERS</t>
  </si>
  <si>
    <t xml:space="preserve">INGRESO </t>
  </si>
  <si>
    <t>805 - 814</t>
  </si>
  <si>
    <t>MATEO (30%)</t>
  </si>
  <si>
    <t>jairo a compania</t>
  </si>
  <si>
    <t>ORDER#</t>
  </si>
  <si>
    <t>PU DATE</t>
  </si>
  <si>
    <t xml:space="preserve">PU CITY </t>
  </si>
  <si>
    <t>DO DATE</t>
  </si>
  <si>
    <t xml:space="preserve">DO CITY </t>
  </si>
  <si>
    <t xml:space="preserve">MILES </t>
  </si>
  <si>
    <t xml:space="preserve">RATE </t>
  </si>
  <si>
    <t>INVOICE#</t>
  </si>
  <si>
    <t xml:space="preserve">CITY </t>
  </si>
  <si>
    <t>GALLONS</t>
  </si>
  <si>
    <t>VALUE</t>
  </si>
  <si>
    <t xml:space="preserve">FILTROS Y REPUESTOS </t>
  </si>
  <si>
    <t>SIMON (30%)</t>
  </si>
  <si>
    <t xml:space="preserve">FORT MYERS FL </t>
  </si>
  <si>
    <t xml:space="preserve">JACKSON AL </t>
  </si>
  <si>
    <t xml:space="preserve">DAVIE FL </t>
  </si>
  <si>
    <t>SALARIO CHOFER</t>
  </si>
  <si>
    <t>ALLICE AL</t>
  </si>
  <si>
    <t xml:space="preserve">DERRY NH </t>
  </si>
  <si>
    <t>WILDWOOD FL</t>
  </si>
  <si>
    <t>PAGO YARDA</t>
  </si>
  <si>
    <t xml:space="preserve">METHUEN MA </t>
  </si>
  <si>
    <t xml:space="preserve">HANOVER MD </t>
  </si>
  <si>
    <t xml:space="preserve">COTTONDALE AL </t>
  </si>
  <si>
    <t>PAGO DEPÓSITO YARDA</t>
  </si>
  <si>
    <t>DOCUMENTOS</t>
  </si>
  <si>
    <t xml:space="preserve">PARROWS POINT MD </t>
  </si>
  <si>
    <t xml:space="preserve">CAMDEN NY </t>
  </si>
  <si>
    <t xml:space="preserve">CARLISLE PA </t>
  </si>
  <si>
    <t>DEF</t>
  </si>
  <si>
    <t>04 MARZO</t>
  </si>
  <si>
    <t xml:space="preserve">LOWVILLE NY </t>
  </si>
  <si>
    <t xml:space="preserve">WAYNE NJ </t>
  </si>
  <si>
    <t xml:space="preserve">WRENTHAM MA </t>
  </si>
  <si>
    <t>DIESEL</t>
  </si>
  <si>
    <t>NEWARK NJ</t>
  </si>
  <si>
    <t xml:space="preserve">ALEQUIPPA PA </t>
  </si>
  <si>
    <t xml:space="preserve">YORK PA </t>
  </si>
  <si>
    <t xml:space="preserve">MAPPLE HEIGHT OH </t>
  </si>
  <si>
    <t xml:space="preserve">MIAMI FL </t>
  </si>
  <si>
    <t>WINDSOR NJ (4 DE MARZO)</t>
  </si>
  <si>
    <t xml:space="preserve">TOLL </t>
  </si>
  <si>
    <t>OHIO</t>
  </si>
  <si>
    <t>MEDLEY FL</t>
  </si>
  <si>
    <t xml:space="preserve">BUFFALO NY </t>
  </si>
  <si>
    <t xml:space="preserve">PARRISH NY </t>
  </si>
  <si>
    <t xml:space="preserve">BATAVIA NY </t>
  </si>
  <si>
    <t xml:space="preserve">DAYTON NJ </t>
  </si>
  <si>
    <t>819 - 821</t>
  </si>
  <si>
    <t xml:space="preserve">LIVINGSTON NJ </t>
  </si>
  <si>
    <t xml:space="preserve">JEFFERSONVILLE OH </t>
  </si>
  <si>
    <t xml:space="preserve">IFTA </t>
  </si>
  <si>
    <t>QUEENSTON MD</t>
  </si>
  <si>
    <t>WALLINGTON CT</t>
  </si>
  <si>
    <t xml:space="preserve">CORDELE GA </t>
  </si>
  <si>
    <t xml:space="preserve">FLAT TIRE </t>
  </si>
  <si>
    <t xml:space="preserve">7 MARZO </t>
  </si>
  <si>
    <t xml:space="preserve">BALTIMORE MD </t>
  </si>
  <si>
    <t xml:space="preserve">FT LAUDERDALE </t>
  </si>
  <si>
    <t xml:space="preserve">PERMISO KYU </t>
  </si>
  <si>
    <t>BERLIN CT</t>
  </si>
  <si>
    <t xml:space="preserve">PITSBURGH PA </t>
  </si>
  <si>
    <t>ST AUGUSTINE FL</t>
  </si>
  <si>
    <t xml:space="preserve">REPARACION TRAILER </t>
  </si>
  <si>
    <t>OOS</t>
  </si>
  <si>
    <t>PITTSBURGH PA</t>
  </si>
  <si>
    <t>KINGSLAND, GA</t>
  </si>
  <si>
    <t>8 MARZO</t>
  </si>
  <si>
    <t>MOUNT AIRY, NC</t>
  </si>
  <si>
    <t>ALTOONA PA</t>
  </si>
  <si>
    <t xml:space="preserve">TEWKSBURY MA </t>
  </si>
  <si>
    <t>NEW MILFORD, PA</t>
  </si>
  <si>
    <t>MANTENIMIENTO</t>
  </si>
  <si>
    <t>MANO DE OBRA</t>
  </si>
  <si>
    <t xml:space="preserve">DOVER NH </t>
  </si>
  <si>
    <t>EMPORIA, VA</t>
  </si>
  <si>
    <t>WALTERBORO, SC</t>
  </si>
  <si>
    <t>HARDEEVILLE, SC</t>
  </si>
  <si>
    <t>REPUESTO</t>
  </si>
  <si>
    <t>FILTRO EQUIVO</t>
  </si>
  <si>
    <t>DILLON, SC</t>
  </si>
  <si>
    <t>MILFORD, CT</t>
  </si>
  <si>
    <t>RIPLEY, WV</t>
  </si>
  <si>
    <t xml:space="preserve">MATE REP - SEG </t>
  </si>
  <si>
    <t>OTHERS</t>
  </si>
  <si>
    <t>ORANGEBURG, NC</t>
  </si>
  <si>
    <t>SIMON REP - SEG</t>
  </si>
  <si>
    <t xml:space="preserve">CATEGORY </t>
  </si>
  <si>
    <t>INVOICE #</t>
  </si>
  <si>
    <t xml:space="preserve">DESCRIPTION </t>
  </si>
  <si>
    <t>AMOUNT</t>
  </si>
  <si>
    <t>JAIRO SEG</t>
  </si>
  <si>
    <t>13.842 GALLONS</t>
  </si>
  <si>
    <t>ORDER 825</t>
  </si>
  <si>
    <t>VERONA, PA</t>
  </si>
  <si>
    <t>PAGO FINAL</t>
  </si>
  <si>
    <t>MILL HALL, PA</t>
  </si>
  <si>
    <t xml:space="preserve">ORDER 829 </t>
  </si>
  <si>
    <t>15.646 GALLONS</t>
  </si>
  <si>
    <t>CANDIA, NH</t>
  </si>
  <si>
    <t xml:space="preserve">2 - 8 MARZO </t>
  </si>
  <si>
    <t>10.001 GALLONS</t>
  </si>
  <si>
    <t>7.252 GALLONS</t>
  </si>
  <si>
    <t>RUTHER GLEN, VA</t>
  </si>
  <si>
    <t>6.707 GALLONS</t>
  </si>
  <si>
    <t>BRUNSWICK, GA</t>
  </si>
  <si>
    <t>10.004 GALLONS</t>
  </si>
  <si>
    <t>13.274 GALLONS</t>
  </si>
  <si>
    <t xml:space="preserve">ORDER 840 </t>
  </si>
  <si>
    <t>12.503 GALLONS</t>
  </si>
  <si>
    <t xml:space="preserve">TOTAL </t>
  </si>
  <si>
    <t>ORDER 871</t>
  </si>
  <si>
    <t>GROSS RATES</t>
  </si>
  <si>
    <t>TOTAL DIESEL</t>
  </si>
  <si>
    <t xml:space="preserve">ORDER 853 </t>
  </si>
  <si>
    <t>SEM 9 - 16 MARZ</t>
  </si>
  <si>
    <t>ORDER 862</t>
  </si>
  <si>
    <t>GASTOS FIJOS</t>
  </si>
  <si>
    <t xml:space="preserve">SEGURO </t>
  </si>
  <si>
    <t>MENSUALIDAD</t>
  </si>
  <si>
    <t>YARDA</t>
  </si>
  <si>
    <t>DASHCAM</t>
  </si>
  <si>
    <t xml:space="preserve">TRAILER </t>
  </si>
  <si>
    <t>ORDER 876</t>
  </si>
  <si>
    <t>ORDER 894</t>
  </si>
  <si>
    <t>LIBRO</t>
  </si>
  <si>
    <t>AIR BAGS</t>
  </si>
  <si>
    <t xml:space="preserve">VEKTOR </t>
  </si>
  <si>
    <t xml:space="preserve">CAMARA </t>
  </si>
  <si>
    <t>REPARACION</t>
  </si>
  <si>
    <t>DEF SENSOR</t>
  </si>
  <si>
    <t>ORDER 893</t>
  </si>
  <si>
    <t>SEM 16 -22 MAR</t>
  </si>
  <si>
    <t>TIRES</t>
  </si>
  <si>
    <t>ORDER 898</t>
  </si>
  <si>
    <t>ORDER 903</t>
  </si>
  <si>
    <t xml:space="preserve">SALARIO CHOFER </t>
  </si>
  <si>
    <t>SEM 23 - 30 MARZ</t>
  </si>
  <si>
    <t>DEBE JAIRO</t>
  </si>
  <si>
    <t>ORDER 906</t>
  </si>
  <si>
    <t>PREVIA</t>
  </si>
  <si>
    <t>GREENVILLE SC</t>
  </si>
  <si>
    <t>INGRESO</t>
  </si>
  <si>
    <t>ORDER 921 - 922</t>
  </si>
  <si>
    <t>NEW WINDSOR MD</t>
  </si>
  <si>
    <t xml:space="preserve">MARIETTA PA </t>
  </si>
  <si>
    <t xml:space="preserve">FT MYERS FL </t>
  </si>
  <si>
    <t>FT MYERS</t>
  </si>
  <si>
    <t xml:space="preserve">N SMITHFIELD </t>
  </si>
  <si>
    <t>PAGO CHOFER</t>
  </si>
  <si>
    <t>SEM 06 - 12 ABR</t>
  </si>
  <si>
    <t xml:space="preserve">BOSTON MA </t>
  </si>
  <si>
    <t xml:space="preserve">PITTSBURGH PA </t>
  </si>
  <si>
    <t>BLAKESLEE, PA</t>
  </si>
  <si>
    <t xml:space="preserve">ERIE PA </t>
  </si>
  <si>
    <t xml:space="preserve">TAMPA FL </t>
  </si>
  <si>
    <t>COCHRANTON, PA</t>
  </si>
  <si>
    <t>ENFIELD CT</t>
  </si>
  <si>
    <t>WYTHEVILLE, VA</t>
  </si>
  <si>
    <t>UHRICHVILLE OH</t>
  </si>
  <si>
    <t>ALLENTOWN PA</t>
  </si>
  <si>
    <t xml:space="preserve">AVANEL NJ </t>
  </si>
  <si>
    <t xml:space="preserve">ORDER 928 </t>
  </si>
  <si>
    <t xml:space="preserve">S BAY FL </t>
  </si>
  <si>
    <t xml:space="preserve">WARNERS NY </t>
  </si>
  <si>
    <t>NANTY GLO, PA</t>
  </si>
  <si>
    <t xml:space="preserve">ROME NY </t>
  </si>
  <si>
    <t>HARRISBURG, PA</t>
  </si>
  <si>
    <t xml:space="preserve">WATKING GLENS </t>
  </si>
  <si>
    <t>LATTA, SC</t>
  </si>
  <si>
    <t>TOLL</t>
  </si>
  <si>
    <t>PREPASS</t>
  </si>
  <si>
    <t xml:space="preserve">SAYRE PA </t>
  </si>
  <si>
    <t>ORDER 929 - 933</t>
  </si>
  <si>
    <t xml:space="preserve">MANTENIMIENTO </t>
  </si>
  <si>
    <t>ORDER  935</t>
  </si>
  <si>
    <t>DENTON, MD</t>
  </si>
  <si>
    <t xml:space="preserve">PAGO CHOFER </t>
  </si>
  <si>
    <t>SEM 13 - 19 ABR</t>
  </si>
  <si>
    <t>SAYRE, PA</t>
  </si>
  <si>
    <t xml:space="preserve">ORDER 936 </t>
  </si>
  <si>
    <t>24 ABRIL</t>
  </si>
  <si>
    <t>ORDER 940</t>
  </si>
  <si>
    <t>ORDER 946</t>
  </si>
  <si>
    <t>ORDER 949</t>
  </si>
  <si>
    <t>8.001 GALLONS</t>
  </si>
  <si>
    <t>16.137 GALLONS</t>
  </si>
  <si>
    <t>5.228 GALLONS</t>
  </si>
  <si>
    <t>18.81 GALLONS</t>
  </si>
  <si>
    <t>5.960 GALLONS</t>
  </si>
  <si>
    <t>4.168 GALLONS</t>
  </si>
  <si>
    <t>5.113 GALLONS</t>
  </si>
  <si>
    <t>5.103 GALLONS</t>
  </si>
  <si>
    <t>7.044 GALLONS</t>
  </si>
  <si>
    <t>SEM 20 - 26 ABR</t>
  </si>
  <si>
    <t>4.890 GALLONS</t>
  </si>
  <si>
    <t>9.104 GALLONS</t>
  </si>
  <si>
    <t>ORDER 956</t>
  </si>
  <si>
    <t>6.382 GALLONS</t>
  </si>
  <si>
    <t>6.135 GALLONS</t>
  </si>
  <si>
    <t xml:space="preserve">REPARACION </t>
  </si>
  <si>
    <t>ELECTRICO</t>
  </si>
  <si>
    <t>ORDER 958 - 964</t>
  </si>
  <si>
    <t>ORDER 970</t>
  </si>
  <si>
    <t>ORDER 968</t>
  </si>
  <si>
    <t>SEM 27 - 3</t>
  </si>
  <si>
    <t>PRESPASS</t>
  </si>
  <si>
    <t>PARQUEO</t>
  </si>
  <si>
    <t>OTROS</t>
  </si>
  <si>
    <t>BRAKET</t>
  </si>
  <si>
    <t xml:space="preserve">MATENIMIENTO </t>
  </si>
  <si>
    <t>FILTROS Y ACE</t>
  </si>
  <si>
    <t>TRAILER</t>
  </si>
  <si>
    <t>MOTOR DE ARR</t>
  </si>
  <si>
    <t xml:space="preserve">MECANICO </t>
  </si>
  <si>
    <t xml:space="preserve">CUADRE DE CAJA </t>
  </si>
  <si>
    <t xml:space="preserve">PITTSFIELD MA </t>
  </si>
  <si>
    <t>FORT PIERCE, FL</t>
  </si>
  <si>
    <t>LUDLOW VT</t>
  </si>
  <si>
    <t xml:space="preserve">HARTFORD AL </t>
  </si>
  <si>
    <t xml:space="preserve">HIGHLAND AL </t>
  </si>
  <si>
    <t>HICKORY NC</t>
  </si>
  <si>
    <t>RUTHER GLAN, VA</t>
  </si>
  <si>
    <t>TONU</t>
  </si>
  <si>
    <t xml:space="preserve">TROY AL </t>
  </si>
  <si>
    <t>CARLSIE, PA</t>
  </si>
  <si>
    <t xml:space="preserve">CHARLOTTE NC </t>
  </si>
  <si>
    <t xml:space="preserve">SYLACAUGA AL </t>
  </si>
  <si>
    <t>ANDERSON, SC</t>
  </si>
  <si>
    <t>SYLACAUGA AL</t>
  </si>
  <si>
    <t>ORDER 983 - 987</t>
  </si>
  <si>
    <t>MOORESBORO NC</t>
  </si>
  <si>
    <t>CANONSBURG PA</t>
  </si>
  <si>
    <t>TEMPLE, GA</t>
  </si>
  <si>
    <t>SEM 11 - 17 MAY</t>
  </si>
  <si>
    <t xml:space="preserve">PITSSBURGH PA </t>
  </si>
  <si>
    <t>PRT ST LUCY</t>
  </si>
  <si>
    <t>CONOVER, NC</t>
  </si>
  <si>
    <t>STATESVILLE, NC</t>
  </si>
  <si>
    <t xml:space="preserve">MIDWAY, FL </t>
  </si>
  <si>
    <t>ORDER 990 -991</t>
  </si>
  <si>
    <t>COTTONDALE, AL</t>
  </si>
  <si>
    <t>ALEXIS</t>
  </si>
  <si>
    <t>200-2820</t>
  </si>
  <si>
    <t xml:space="preserve">MT JACKSON, VA </t>
  </si>
  <si>
    <t>PARKING</t>
  </si>
  <si>
    <t>ORDER 993, 996, 997</t>
  </si>
  <si>
    <t>SEGURO Y CAMARA</t>
  </si>
  <si>
    <t>DISPOSITIVOS</t>
  </si>
  <si>
    <t>10.640 GALLONS</t>
  </si>
  <si>
    <t>ORDER 1000</t>
  </si>
  <si>
    <t>4.180 GALLONS</t>
  </si>
  <si>
    <t>SEM 18 - 24</t>
  </si>
  <si>
    <t>12.026 GALLONS</t>
  </si>
  <si>
    <t xml:space="preserve">RIGNATION </t>
  </si>
  <si>
    <t>TRUCK 109 - 108</t>
  </si>
  <si>
    <t>8.939 GALLONS</t>
  </si>
  <si>
    <t>7.501 GALLONS</t>
  </si>
  <si>
    <t>9.452 GALLONS</t>
  </si>
  <si>
    <t>3.831 GALLONS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</si>
</sst>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&quot;$&quot;#,##0.00"/>
    <numFmt numFmtId="166" formatCode="mm/dd/yyyy"/>
    <numFmt numFmtId="167" formatCode="M/d/yyyy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sz val="23.0"/>
      <color theme="1"/>
      <name val="Arial"/>
    </font>
    <font>
      <b/>
      <sz val="12.0"/>
      <color theme="1"/>
      <name val="Arial"/>
      <scheme val="minor"/>
    </font>
    <font>
      <b/>
      <sz val="14.0"/>
      <color theme="1"/>
      <name val="Arial"/>
    </font>
    <font>
      <b/>
      <sz val="15.0"/>
      <color theme="1"/>
      <name val="Arial"/>
      <scheme val="minor"/>
    </font>
    <font>
      <b/>
      <sz val="13.0"/>
      <color theme="1"/>
      <name val="Arial"/>
      <scheme val="minor"/>
    </font>
    <font/>
    <font>
      <b/>
      <sz val="1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1" numFmtId="0" xfId="0" applyFont="1"/>
    <xf borderId="0" fillId="0" fontId="2" numFmtId="164" xfId="0" applyFont="1" applyNumberFormat="1"/>
    <xf borderId="0" fillId="2" fontId="3" numFmtId="0" xfId="0" applyAlignment="1" applyFill="1" applyFont="1">
      <alignment horizontal="center" vertical="bottom"/>
    </xf>
    <xf borderId="0" fillId="2" fontId="3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2" fontId="1" numFmtId="0" xfId="0" applyFont="1"/>
    <xf borderId="0" fillId="3" fontId="5" numFmtId="0" xfId="0" applyAlignment="1" applyFill="1" applyFont="1">
      <alignment horizontal="center" readingOrder="0"/>
    </xf>
    <xf borderId="0" fillId="0" fontId="5" numFmtId="165" xfId="0" applyFont="1" applyNumberFormat="1"/>
    <xf borderId="1" fillId="4" fontId="2" numFmtId="0" xfId="0" applyAlignment="1" applyBorder="1" applyFill="1" applyFont="1">
      <alignment readingOrder="0"/>
    </xf>
    <xf borderId="1" fillId="4" fontId="2" numFmtId="0" xfId="0" applyAlignment="1" applyBorder="1" applyFont="1">
      <alignment horizontal="center" readingOrder="0"/>
    </xf>
    <xf borderId="1" fillId="3" fontId="2" numFmtId="165" xfId="0" applyAlignment="1" applyBorder="1" applyFont="1" applyNumberFormat="1">
      <alignment readingOrder="0"/>
    </xf>
    <xf borderId="0" fillId="5" fontId="2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3" numFmtId="165" xfId="0" applyAlignment="1" applyFont="1" applyNumberFormat="1">
      <alignment vertical="bottom"/>
    </xf>
    <xf borderId="0" fillId="2" fontId="3" numFmtId="165" xfId="0" applyAlignment="1" applyFont="1" applyNumberFormat="1">
      <alignment vertical="bottom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6" fontId="2" numFmtId="165" xfId="0" applyAlignment="1" applyBorder="1" applyFill="1" applyFont="1" applyNumberFormat="1">
      <alignment readingOrder="0"/>
    </xf>
    <xf borderId="1" fillId="7" fontId="2" numFmtId="165" xfId="0" applyAlignment="1" applyBorder="1" applyFill="1" applyFont="1" applyNumberFormat="1">
      <alignment readingOrder="0"/>
    </xf>
    <xf borderId="0" fillId="0" fontId="6" numFmtId="0" xfId="0" applyAlignment="1" applyFont="1">
      <alignment horizontal="center" readingOrder="0" vertical="bottom"/>
    </xf>
    <xf borderId="0" fillId="0" fontId="6" numFmtId="164" xfId="0" applyAlignment="1" applyFont="1" applyNumberFormat="1">
      <alignment horizontal="center" vertical="bottom"/>
    </xf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horizontal="center" readingOrder="0"/>
    </xf>
    <xf borderId="0" fillId="5" fontId="2" numFmtId="165" xfId="0" applyFont="1" applyNumberFormat="1"/>
    <xf borderId="0" fillId="0" fontId="2" numFmtId="0" xfId="0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0" fillId="5" fontId="1" numFmtId="0" xfId="0" applyAlignment="1" applyFont="1">
      <alignment readingOrder="0"/>
    </xf>
    <xf borderId="0" fillId="5" fontId="1" numFmtId="165" xfId="0" applyFont="1" applyNumberFormat="1"/>
    <xf borderId="0" fillId="2" fontId="1" numFmtId="0" xfId="0" applyAlignment="1" applyFont="1">
      <alignment horizontal="center"/>
    </xf>
    <xf borderId="0" fillId="3" fontId="7" numFmtId="0" xfId="0" applyAlignment="1" applyFont="1">
      <alignment horizontal="center" readingOrder="0"/>
    </xf>
    <xf borderId="0" fillId="2" fontId="1" numFmtId="165" xfId="0" applyFont="1" applyNumberFormat="1"/>
    <xf borderId="1" fillId="4" fontId="2" numFmtId="165" xfId="0" applyAlignment="1" applyBorder="1" applyFont="1" applyNumberFormat="1">
      <alignment horizontal="center" readingOrder="0"/>
    </xf>
    <xf borderId="1" fillId="4" fontId="2" numFmtId="165" xfId="0" applyAlignment="1" applyBorder="1" applyFont="1" applyNumberFormat="1">
      <alignment readingOrder="0"/>
    </xf>
    <xf borderId="1" fillId="6" fontId="1" numFmtId="0" xfId="0" applyAlignment="1" applyBorder="1" applyFont="1">
      <alignment readingOrder="0"/>
    </xf>
    <xf borderId="1" fillId="6" fontId="1" numFmtId="0" xfId="0" applyAlignment="1" applyBorder="1" applyFont="1">
      <alignment horizontal="center" readingOrder="0"/>
    </xf>
    <xf borderId="1" fillId="7" fontId="1" numFmtId="165" xfId="0" applyAlignment="1" applyBorder="1" applyFont="1" applyNumberFormat="1">
      <alignment readingOrder="0"/>
    </xf>
    <xf borderId="1" fillId="7" fontId="2" numFmtId="0" xfId="0" applyAlignment="1" applyBorder="1" applyFont="1">
      <alignment horizontal="center" readingOrder="0"/>
    </xf>
    <xf borderId="1" fillId="7" fontId="1" numFmtId="166" xfId="0" applyAlignment="1" applyBorder="1" applyFont="1" applyNumberFormat="1">
      <alignment horizontal="center" readingOrder="0"/>
    </xf>
    <xf borderId="1" fillId="7" fontId="1" numFmtId="0" xfId="0" applyAlignment="1" applyBorder="1" applyFont="1">
      <alignment readingOrder="0"/>
    </xf>
    <xf borderId="1" fillId="7" fontId="1" numFmtId="167" xfId="0" applyAlignment="1" applyBorder="1" applyFont="1" applyNumberFormat="1">
      <alignment horizontal="center" readingOrder="0"/>
    </xf>
    <xf borderId="1" fillId="7" fontId="1" numFmtId="0" xfId="0" applyAlignment="1" applyBorder="1" applyFont="1">
      <alignment horizontal="center" readingOrder="0"/>
    </xf>
    <xf borderId="1" fillId="7" fontId="1" numFmtId="164" xfId="0" applyAlignment="1" applyBorder="1" applyFont="1" applyNumberFormat="1">
      <alignment readingOrder="0"/>
    </xf>
    <xf borderId="1" fillId="3" fontId="1" numFmtId="0" xfId="0" applyAlignment="1" applyBorder="1" applyFont="1">
      <alignment readingOrder="0"/>
    </xf>
    <xf borderId="1" fillId="3" fontId="1" numFmtId="165" xfId="0" applyAlignment="1" applyBorder="1" applyFont="1" applyNumberFormat="1">
      <alignment readingOrder="0"/>
    </xf>
    <xf borderId="0" fillId="0" fontId="1" numFmtId="165" xfId="0" applyFont="1" applyNumberFormat="1"/>
    <xf borderId="1" fillId="0" fontId="1" numFmtId="165" xfId="0" applyAlignment="1" applyBorder="1" applyFont="1" applyNumberFormat="1">
      <alignment readingOrder="0"/>
    </xf>
    <xf borderId="1" fillId="6" fontId="1" numFmtId="165" xfId="0" applyAlignment="1" applyBorder="1" applyFont="1" applyNumberFormat="1">
      <alignment readingOrder="0"/>
    </xf>
    <xf borderId="1" fillId="6" fontId="2" numFmtId="0" xfId="0" applyAlignment="1" applyBorder="1" applyFont="1">
      <alignment readingOrder="0"/>
    </xf>
    <xf borderId="1" fillId="6" fontId="2" numFmtId="0" xfId="0" applyAlignment="1" applyBorder="1" applyFont="1">
      <alignment horizontal="center" readingOrder="0"/>
    </xf>
    <xf borderId="0" fillId="7" fontId="1" numFmtId="0" xfId="0" applyFont="1"/>
    <xf borderId="0" fillId="0" fontId="1" numFmtId="165" xfId="0" applyAlignment="1" applyFont="1" applyNumberFormat="1">
      <alignment readingOrder="0"/>
    </xf>
    <xf borderId="1" fillId="7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1" numFmtId="167" xfId="0" applyAlignment="1" applyBorder="1" applyFont="1" applyNumberFormat="1">
      <alignment horizontal="center"/>
    </xf>
    <xf borderId="1" fillId="0" fontId="1" numFmtId="164" xfId="0" applyBorder="1" applyFont="1" applyNumberFormat="1"/>
    <xf borderId="1" fillId="7" fontId="1" numFmtId="165" xfId="0" applyBorder="1" applyFont="1" applyNumberFormat="1"/>
    <xf borderId="1" fillId="0" fontId="1" numFmtId="167" xfId="0" applyBorder="1" applyFont="1" applyNumberFormat="1"/>
    <xf borderId="1" fillId="0" fontId="8" numFmtId="0" xfId="0" applyAlignment="1" applyBorder="1" applyFont="1">
      <alignment readingOrder="0"/>
    </xf>
    <xf borderId="1" fillId="0" fontId="5" numFmtId="164" xfId="0" applyBorder="1" applyFont="1" applyNumberFormat="1"/>
    <xf borderId="0" fillId="2" fontId="1" numFmtId="165" xfId="0" applyFont="1" applyNumberFormat="1"/>
    <xf borderId="1" fillId="6" fontId="1" numFmtId="165" xfId="0" applyAlignment="1" applyBorder="1" applyFont="1" applyNumberFormat="1">
      <alignment horizontal="right" readingOrder="0"/>
    </xf>
    <xf borderId="1" fillId="0" fontId="1" numFmtId="0" xfId="0" applyAlignment="1" applyBorder="1" applyFont="1">
      <alignment horizontal="right" readingOrder="0"/>
    </xf>
    <xf borderId="0" fillId="6" fontId="1" numFmtId="0" xfId="0" applyFont="1"/>
    <xf borderId="1" fillId="6" fontId="1" numFmtId="165" xfId="0" applyBorder="1" applyFont="1" applyNumberFormat="1"/>
    <xf borderId="2" fillId="4" fontId="2" numFmtId="0" xfId="0" applyAlignment="1" applyBorder="1" applyFont="1">
      <alignment horizontal="center" readingOrder="0"/>
    </xf>
    <xf borderId="3" fillId="0" fontId="9" numFmtId="0" xfId="0" applyBorder="1" applyFont="1"/>
    <xf borderId="3" fillId="4" fontId="2" numFmtId="165" xfId="0" applyAlignment="1" applyBorder="1" applyFont="1" applyNumberFormat="1">
      <alignment readingOrder="0"/>
    </xf>
    <xf borderId="4" fillId="0" fontId="2" numFmtId="0" xfId="0" applyAlignment="1" applyBorder="1" applyFont="1">
      <alignment horizontal="center" readingOrder="0"/>
    </xf>
    <xf borderId="5" fillId="0" fontId="1" numFmtId="0" xfId="0" applyAlignment="1" applyBorder="1" applyFont="1">
      <alignment readingOrder="0"/>
    </xf>
    <xf borderId="6" fillId="0" fontId="9" numFmtId="0" xfId="0" applyBorder="1" applyFont="1"/>
    <xf borderId="6" fillId="0" fontId="1" numFmtId="165" xfId="0" applyAlignment="1" applyBorder="1" applyFont="1" applyNumberFormat="1">
      <alignment readingOrder="0"/>
    </xf>
    <xf borderId="2" fillId="0" fontId="1" numFmtId="0" xfId="0" applyAlignment="1" applyBorder="1" applyFont="1">
      <alignment readingOrder="0"/>
    </xf>
    <xf borderId="3" fillId="0" fontId="1" numFmtId="165" xfId="0" applyAlignment="1" applyBorder="1" applyFont="1" applyNumberFormat="1">
      <alignment readingOrder="0"/>
    </xf>
    <xf borderId="1" fillId="0" fontId="1" numFmtId="165" xfId="0" applyBorder="1" applyFont="1" applyNumberFormat="1"/>
    <xf borderId="2" fillId="0" fontId="1" numFmtId="0" xfId="0" applyBorder="1" applyFont="1"/>
    <xf borderId="3" fillId="0" fontId="1" numFmtId="165" xfId="0" applyBorder="1" applyFont="1" applyNumberFormat="1"/>
    <xf borderId="3" fillId="6" fontId="1" numFmtId="165" xfId="0" applyAlignment="1" applyBorder="1" applyFont="1" applyNumberFormat="1">
      <alignment readingOrder="0"/>
    </xf>
    <xf borderId="1" fillId="0" fontId="10" numFmtId="0" xfId="0" applyAlignment="1" applyBorder="1" applyFont="1">
      <alignment readingOrder="0"/>
    </xf>
    <xf borderId="1" fillId="0" fontId="10" numFmtId="165" xfId="0" applyBorder="1" applyFont="1" applyNumberFormat="1"/>
    <xf borderId="2" fillId="0" fontId="5" numFmtId="0" xfId="0" applyAlignment="1" applyBorder="1" applyFont="1">
      <alignment readingOrder="0"/>
    </xf>
    <xf borderId="3" fillId="0" fontId="10" numFmtId="165" xfId="0" applyBorder="1" applyFont="1" applyNumberFormat="1"/>
    <xf borderId="1" fillId="6" fontId="1" numFmtId="165" xfId="0" applyAlignment="1" applyBorder="1" applyFont="1" applyNumberFormat="1">
      <alignment readingOrder="0"/>
    </xf>
    <xf borderId="1" fillId="7" fontId="1" numFmtId="165" xfId="0" applyBorder="1" applyFont="1" applyNumberFormat="1"/>
    <xf borderId="1" fillId="6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6" fontId="1" numFmtId="164" xfId="0" applyAlignment="1" applyBorder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165" xfId="0" applyFont="1" applyNumberFormat="1"/>
    <xf borderId="1" fillId="6" fontId="1" numFmtId="0" xfId="0" applyBorder="1" applyFont="1"/>
    <xf borderId="1" fillId="7" fontId="1" numFmtId="165" xfId="0" applyAlignment="1" applyBorder="1" applyFont="1" applyNumberFormat="1">
      <alignment readingOrder="0"/>
    </xf>
    <xf borderId="0" fillId="0" fontId="1" numFmtId="0" xfId="0" applyAlignment="1" applyFont="1">
      <alignment horizontal="center"/>
    </xf>
    <xf borderId="1" fillId="5" fontId="1" numFmtId="0" xfId="0" applyAlignment="1" applyBorder="1" applyFont="1">
      <alignment readingOrder="0"/>
    </xf>
    <xf borderId="1" fillId="5" fontId="1" numFmtId="0" xfId="0" applyAlignment="1" applyBorder="1" applyFont="1">
      <alignment horizontal="center" readingOrder="0"/>
    </xf>
    <xf borderId="1" fillId="5" fontId="1" numFmtId="164" xfId="0" applyAlignment="1" applyBorder="1" applyFont="1" applyNumberFormat="1">
      <alignment readingOrder="0"/>
    </xf>
    <xf borderId="1" fillId="5" fontId="1" numFmtId="165" xfId="0" applyBorder="1" applyFont="1" applyNumberFormat="1"/>
    <xf borderId="1" fillId="5" fontId="1" numFmtId="165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1" fillId="0" fontId="1" numFmtId="165" xfId="0" applyBorder="1" applyFont="1" applyNumberFormat="1"/>
    <xf borderId="1" fillId="3" fontId="1" numFmtId="0" xfId="0" applyAlignment="1" applyBorder="1" applyFont="1">
      <alignment horizontal="center" readingOrder="0"/>
    </xf>
    <xf borderId="1" fillId="3" fontId="1" numFmtId="165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1" fillId="6" fontId="1" numFmtId="165" xfId="0" applyAlignment="1" applyBorder="1" applyFont="1" applyNumberFormat="1">
      <alignment readingOrder="0"/>
    </xf>
    <xf borderId="1" fillId="5" fontId="2" numFmtId="0" xfId="0" applyAlignment="1" applyBorder="1" applyFont="1">
      <alignment horizontal="center" readingOrder="0"/>
    </xf>
    <xf borderId="1" fillId="5" fontId="1" numFmtId="166" xfId="0" applyAlignment="1" applyBorder="1" applyFont="1" applyNumberFormat="1">
      <alignment horizontal="center" readingOrder="0"/>
    </xf>
    <xf borderId="1" fillId="5" fontId="1" numFmtId="167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right" readingOrder="0"/>
    </xf>
    <xf borderId="0" fillId="5" fontId="2" numFmtId="0" xfId="0" applyFont="1"/>
    <xf borderId="0" fillId="5" fontId="1" numFmtId="0" xfId="0" applyFont="1"/>
    <xf borderId="1" fillId="0" fontId="1" numFmtId="0" xfId="0" applyAlignment="1" applyBorder="1" applyFont="1">
      <alignment horizontal="center" readingOrder="0"/>
    </xf>
    <xf borderId="1" fillId="6" fontId="2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0</xdr:row>
      <xdr:rowOff>0</xdr:rowOff>
    </xdr:from>
    <xdr:ext cx="1219200" cy="1219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1219200" cy="1219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0</xdr:row>
      <xdr:rowOff>0</xdr:rowOff>
    </xdr:from>
    <xdr:ext cx="1219200" cy="1219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1219200" cy="1219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0</xdr:row>
      <xdr:rowOff>0</xdr:rowOff>
    </xdr:from>
    <xdr:ext cx="1219200" cy="1219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1219200" cy="1219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4" max="4" width="13.5"/>
    <col customWidth="1" min="5" max="5" width="15.63"/>
  </cols>
  <sheetData>
    <row r="1">
      <c r="A1" s="1" t="s">
        <v>0</v>
      </c>
      <c r="B1" s="2">
        <v>1300.0</v>
      </c>
      <c r="E1" s="1" t="s">
        <v>1</v>
      </c>
      <c r="F1" s="1" t="s">
        <v>2</v>
      </c>
      <c r="G1" s="1" t="s">
        <v>3</v>
      </c>
      <c r="H1" s="3" t="s">
        <v>4</v>
      </c>
    </row>
    <row r="2">
      <c r="A2" s="1" t="s">
        <v>5</v>
      </c>
      <c r="B2" s="2">
        <v>900.0</v>
      </c>
      <c r="D2" s="3" t="s">
        <v>6</v>
      </c>
      <c r="E2" s="4">
        <f>B14*55%</f>
        <v>5448.3</v>
      </c>
      <c r="F2" s="4">
        <f>B14*22.5%</f>
        <v>2228.85</v>
      </c>
      <c r="G2" s="4">
        <f>B14*22.5%</f>
        <v>2228.85</v>
      </c>
      <c r="H2" s="4">
        <f t="shared" ref="H2:H3" si="1">SUM(E2:G2)</f>
        <v>9906</v>
      </c>
    </row>
    <row r="3">
      <c r="A3" s="1" t="s">
        <v>7</v>
      </c>
      <c r="B3" s="2">
        <v>1083.0</v>
      </c>
      <c r="D3" s="3" t="s">
        <v>8</v>
      </c>
      <c r="E3" s="2">
        <v>4500.0</v>
      </c>
      <c r="F3" s="2">
        <v>1206.0</v>
      </c>
      <c r="G3" s="2">
        <v>4200.0</v>
      </c>
      <c r="H3" s="4">
        <f t="shared" si="1"/>
        <v>9906</v>
      </c>
    </row>
    <row r="4">
      <c r="A4" s="1" t="s">
        <v>9</v>
      </c>
      <c r="B4" s="2">
        <v>1328.0</v>
      </c>
      <c r="D4" s="3" t="s">
        <v>10</v>
      </c>
      <c r="E4" s="4">
        <f t="shared" ref="E4:G4" si="2">E2-E3</f>
        <v>948.3</v>
      </c>
      <c r="F4" s="4">
        <f t="shared" si="2"/>
        <v>1022.85</v>
      </c>
      <c r="G4" s="4">
        <f t="shared" si="2"/>
        <v>-1971.15</v>
      </c>
    </row>
    <row r="5">
      <c r="A5" s="1" t="s">
        <v>11</v>
      </c>
      <c r="B5" s="2">
        <v>4200.0</v>
      </c>
      <c r="E5" s="4"/>
      <c r="F5" s="4"/>
      <c r="G5" s="4"/>
    </row>
    <row r="6">
      <c r="A6" s="1" t="s">
        <v>12</v>
      </c>
      <c r="B6" s="2">
        <v>65.0</v>
      </c>
      <c r="E6" s="4"/>
      <c r="F6" s="4"/>
      <c r="G6" s="4"/>
    </row>
    <row r="7">
      <c r="A7" s="1" t="s">
        <v>13</v>
      </c>
      <c r="B7" s="2">
        <v>50.0</v>
      </c>
      <c r="D7" s="3" t="s">
        <v>14</v>
      </c>
      <c r="E7" s="1" t="s">
        <v>1</v>
      </c>
      <c r="F7" s="1" t="s">
        <v>2</v>
      </c>
      <c r="G7" s="1" t="s">
        <v>3</v>
      </c>
    </row>
    <row r="8">
      <c r="A8" s="1" t="s">
        <v>15</v>
      </c>
      <c r="B8" s="2">
        <v>160.0</v>
      </c>
      <c r="D8" s="3" t="s">
        <v>6</v>
      </c>
      <c r="E8" s="4">
        <f>3000*55%</f>
        <v>1650</v>
      </c>
      <c r="F8" s="4">
        <f t="shared" ref="F8:G8" si="3">3000*22.5%</f>
        <v>675</v>
      </c>
      <c r="G8" s="4">
        <f t="shared" si="3"/>
        <v>675</v>
      </c>
      <c r="H8" s="4">
        <f t="shared" ref="H8:H9" si="4">SUM(E8:G8)</f>
        <v>3000</v>
      </c>
    </row>
    <row r="9">
      <c r="A9" s="1" t="s">
        <v>16</v>
      </c>
      <c r="B9" s="2">
        <v>30.0</v>
      </c>
      <c r="D9" s="3" t="s">
        <v>8</v>
      </c>
      <c r="E9" s="1">
        <v>1000.0</v>
      </c>
      <c r="F9" s="1">
        <v>1277.0</v>
      </c>
      <c r="G9" s="1">
        <v>800.0</v>
      </c>
      <c r="H9" s="5">
        <f t="shared" si="4"/>
        <v>3077</v>
      </c>
    </row>
    <row r="10">
      <c r="A10" s="1" t="s">
        <v>16</v>
      </c>
      <c r="B10" s="2">
        <v>200.0</v>
      </c>
      <c r="D10" s="3" t="s">
        <v>10</v>
      </c>
      <c r="E10" s="4">
        <f t="shared" ref="E10:G10" si="5">E8-E9</f>
        <v>650</v>
      </c>
      <c r="F10" s="4">
        <f t="shared" si="5"/>
        <v>-602</v>
      </c>
      <c r="G10" s="4">
        <f t="shared" si="5"/>
        <v>-125</v>
      </c>
    </row>
    <row r="11">
      <c r="A11" s="1" t="s">
        <v>17</v>
      </c>
      <c r="B11" s="2">
        <v>100.0</v>
      </c>
    </row>
    <row r="12">
      <c r="A12" s="1" t="s">
        <v>18</v>
      </c>
      <c r="B12" s="2">
        <v>100.0</v>
      </c>
    </row>
    <row r="13">
      <c r="A13" s="1" t="s">
        <v>19</v>
      </c>
      <c r="B13" s="2">
        <v>390.0</v>
      </c>
      <c r="E13" s="1" t="s">
        <v>1</v>
      </c>
      <c r="F13" s="1" t="s">
        <v>2</v>
      </c>
      <c r="G13" s="1" t="s">
        <v>3</v>
      </c>
    </row>
    <row r="14">
      <c r="A14" s="3" t="s">
        <v>20</v>
      </c>
      <c r="B14" s="6">
        <f>SUM(B1:B13)</f>
        <v>9906</v>
      </c>
      <c r="D14" s="1" t="s">
        <v>21</v>
      </c>
      <c r="E14" s="4">
        <f t="shared" ref="E14:G14" si="6">E4+E10</f>
        <v>1598.3</v>
      </c>
      <c r="F14" s="4">
        <f t="shared" si="6"/>
        <v>420.85</v>
      </c>
      <c r="G14" s="4">
        <f t="shared" si="6"/>
        <v>-2096.15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4.88"/>
    <col customWidth="1" min="3" max="3" width="19.25"/>
    <col customWidth="1" min="5" max="5" width="14.5"/>
    <col customWidth="1" min="8" max="8" width="13.5"/>
    <col customWidth="1" min="10" max="10" width="25.5"/>
    <col customWidth="1" min="14" max="14" width="25.13"/>
    <col customWidth="1" min="15" max="15" width="14.63"/>
    <col customWidth="1" min="16" max="16" width="15.13"/>
    <col customWidth="1" min="22" max="22" width="16.13"/>
  </cols>
  <sheetData>
    <row r="1">
      <c r="A1" s="7"/>
      <c r="B1" s="8"/>
      <c r="C1" s="9" t="s">
        <v>22</v>
      </c>
      <c r="M1" s="10"/>
      <c r="N1" s="11" t="s">
        <v>23</v>
      </c>
      <c r="R1" s="12">
        <f>SUM(Q3:Q86)- SUM(P3:P86)</f>
        <v>6529.81</v>
      </c>
      <c r="S1" s="10"/>
      <c r="T1" s="10"/>
      <c r="V1" s="1" t="s">
        <v>2</v>
      </c>
      <c r="W1" s="1" t="s">
        <v>24</v>
      </c>
      <c r="X1" s="1" t="s">
        <v>25</v>
      </c>
    </row>
    <row r="2">
      <c r="A2" s="7"/>
      <c r="B2" s="8"/>
      <c r="M2" s="10"/>
      <c r="N2" s="13" t="s">
        <v>26</v>
      </c>
      <c r="O2" s="14" t="s">
        <v>27</v>
      </c>
      <c r="P2" s="13" t="s">
        <v>28</v>
      </c>
      <c r="Q2" s="15" t="s">
        <v>29</v>
      </c>
      <c r="R2" s="16"/>
      <c r="S2" s="17">
        <v>1219.0</v>
      </c>
      <c r="T2" s="10"/>
      <c r="V2" s="1">
        <v>421.0</v>
      </c>
      <c r="W2" s="1">
        <v>1598.0</v>
      </c>
      <c r="X2" s="1">
        <v>1715.0</v>
      </c>
    </row>
    <row r="3">
      <c r="A3" s="7"/>
      <c r="B3" s="8"/>
      <c r="C3" s="8"/>
      <c r="D3" s="18"/>
      <c r="E3" s="8"/>
      <c r="F3" s="8"/>
      <c r="G3" s="8"/>
      <c r="H3" s="8"/>
      <c r="I3" s="8"/>
      <c r="J3" s="8"/>
      <c r="K3" s="8"/>
      <c r="L3" s="19"/>
      <c r="M3" s="10"/>
      <c r="N3" s="20" t="s">
        <v>30</v>
      </c>
      <c r="O3" s="21"/>
      <c r="P3" s="22"/>
      <c r="Q3" s="23">
        <v>3000.0</v>
      </c>
      <c r="R3" s="10"/>
      <c r="S3" s="10"/>
      <c r="T3" s="10"/>
      <c r="V3" s="1">
        <v>170.0</v>
      </c>
      <c r="W3" s="1">
        <v>-1084.0</v>
      </c>
    </row>
    <row r="4">
      <c r="A4" s="7"/>
      <c r="B4" s="8"/>
      <c r="C4" s="24" t="s">
        <v>31</v>
      </c>
      <c r="H4" s="25">
        <f>SUM(H8:H74)</f>
        <v>0</v>
      </c>
      <c r="J4" s="8"/>
      <c r="K4" s="8"/>
      <c r="L4" s="19"/>
      <c r="M4" s="10"/>
      <c r="N4" s="26" t="s">
        <v>32</v>
      </c>
      <c r="O4" s="27" t="s">
        <v>33</v>
      </c>
      <c r="P4" s="22">
        <v>2295.0</v>
      </c>
      <c r="Q4" s="23"/>
      <c r="R4" s="10"/>
      <c r="S4" s="16" t="s">
        <v>34</v>
      </c>
      <c r="T4" s="28">
        <f>R1-3000</f>
        <v>3529.81</v>
      </c>
      <c r="V4" s="3">
        <v>500.0</v>
      </c>
      <c r="W4" s="29">
        <f>W2+W3</f>
        <v>514</v>
      </c>
    </row>
    <row r="5">
      <c r="A5" s="7"/>
      <c r="B5" s="8"/>
      <c r="C5" s="8"/>
      <c r="D5" s="18"/>
      <c r="E5" s="8"/>
      <c r="F5" s="8"/>
      <c r="G5" s="8"/>
      <c r="H5" s="8"/>
      <c r="I5" s="8"/>
      <c r="J5" s="8"/>
      <c r="K5" s="8"/>
      <c r="L5" s="19"/>
      <c r="M5" s="10"/>
      <c r="N5" s="30" t="s">
        <v>35</v>
      </c>
      <c r="O5" s="31" t="s">
        <v>36</v>
      </c>
      <c r="P5" s="22">
        <v>66.43</v>
      </c>
      <c r="Q5" s="23"/>
      <c r="R5" s="10"/>
      <c r="S5" s="32" t="s">
        <v>37</v>
      </c>
      <c r="T5" s="33">
        <f>T4*20%</f>
        <v>705.962</v>
      </c>
    </row>
    <row r="6">
      <c r="A6" s="7"/>
      <c r="B6" s="8"/>
      <c r="C6" s="8"/>
      <c r="D6" s="18"/>
      <c r="E6" s="8"/>
      <c r="F6" s="8"/>
      <c r="G6" s="8"/>
      <c r="H6" s="8"/>
      <c r="I6" s="8"/>
      <c r="J6" s="8"/>
      <c r="K6" s="8"/>
      <c r="L6" s="19"/>
      <c r="M6" s="10"/>
      <c r="N6" s="30" t="s">
        <v>32</v>
      </c>
      <c r="O6" s="31">
        <v>98723.0</v>
      </c>
      <c r="P6" s="22">
        <v>500.0</v>
      </c>
      <c r="Q6" s="23"/>
      <c r="R6" s="10"/>
      <c r="S6" s="32" t="s">
        <v>38</v>
      </c>
      <c r="T6" s="33">
        <f>T4*20%</f>
        <v>705.962</v>
      </c>
    </row>
    <row r="7">
      <c r="A7" s="34"/>
      <c r="B7" s="10"/>
      <c r="C7" s="35" t="s">
        <v>39</v>
      </c>
      <c r="E7" s="10"/>
      <c r="F7" s="10"/>
      <c r="G7" s="10"/>
      <c r="H7" s="10"/>
      <c r="I7" s="10"/>
      <c r="J7" s="35" t="s">
        <v>32</v>
      </c>
      <c r="L7" s="36"/>
      <c r="M7" s="10"/>
      <c r="N7" s="30" t="s">
        <v>40</v>
      </c>
      <c r="O7" s="31" t="s">
        <v>41</v>
      </c>
      <c r="P7" s="22"/>
      <c r="Q7" s="23">
        <v>3828.0</v>
      </c>
      <c r="R7" s="10"/>
      <c r="S7" s="32" t="s">
        <v>42</v>
      </c>
      <c r="T7" s="33">
        <f>T4*30%</f>
        <v>1058.943</v>
      </c>
      <c r="V7" s="1" t="s">
        <v>43</v>
      </c>
    </row>
    <row r="8">
      <c r="A8" s="14" t="s">
        <v>44</v>
      </c>
      <c r="B8" s="14" t="s">
        <v>45</v>
      </c>
      <c r="C8" s="14" t="s">
        <v>46</v>
      </c>
      <c r="D8" s="37" t="s">
        <v>47</v>
      </c>
      <c r="E8" s="14" t="s">
        <v>48</v>
      </c>
      <c r="F8" s="14" t="s">
        <v>49</v>
      </c>
      <c r="G8" s="14" t="s">
        <v>50</v>
      </c>
      <c r="H8" s="10"/>
      <c r="I8" s="13" t="s">
        <v>51</v>
      </c>
      <c r="J8" s="13" t="s">
        <v>52</v>
      </c>
      <c r="K8" s="13" t="s">
        <v>53</v>
      </c>
      <c r="L8" s="38" t="s">
        <v>54</v>
      </c>
      <c r="M8" s="10"/>
      <c r="N8" s="39" t="s">
        <v>55</v>
      </c>
      <c r="O8" s="40"/>
      <c r="P8" s="22">
        <v>558.0</v>
      </c>
      <c r="Q8" s="41"/>
      <c r="R8" s="10"/>
      <c r="S8" s="32" t="s">
        <v>56</v>
      </c>
      <c r="T8" s="33">
        <f>T4*30%</f>
        <v>1058.943</v>
      </c>
    </row>
    <row r="9">
      <c r="A9" s="42">
        <v>805.0</v>
      </c>
      <c r="B9" s="43">
        <v>46079.0</v>
      </c>
      <c r="C9" s="44" t="s">
        <v>57</v>
      </c>
      <c r="D9" s="45">
        <v>46080.0</v>
      </c>
      <c r="E9" s="44" t="s">
        <v>58</v>
      </c>
      <c r="F9" s="46">
        <v>709.0</v>
      </c>
      <c r="G9" s="47">
        <v>900.0</v>
      </c>
      <c r="H9" s="10"/>
      <c r="I9" s="48">
        <v>3010520.0</v>
      </c>
      <c r="J9" s="48" t="s">
        <v>59</v>
      </c>
      <c r="K9" s="48">
        <v>71.96</v>
      </c>
      <c r="L9" s="49">
        <v>312.0</v>
      </c>
      <c r="M9" s="10"/>
      <c r="N9" s="30" t="s">
        <v>60</v>
      </c>
      <c r="O9" s="31" t="s">
        <v>33</v>
      </c>
      <c r="P9" s="22">
        <v>1143.0</v>
      </c>
      <c r="Q9" s="41"/>
      <c r="R9" s="10"/>
      <c r="S9" s="10"/>
      <c r="T9" s="10"/>
      <c r="U9" s="50">
        <f>SUM(T5:T8)</f>
        <v>3529.81</v>
      </c>
    </row>
    <row r="10">
      <c r="A10" s="42">
        <v>814.0</v>
      </c>
      <c r="B10" s="43">
        <v>46080.0</v>
      </c>
      <c r="C10" s="44" t="s">
        <v>61</v>
      </c>
      <c r="D10" s="45">
        <v>46083.0</v>
      </c>
      <c r="E10" s="44" t="s">
        <v>62</v>
      </c>
      <c r="F10" s="46">
        <v>1460.0</v>
      </c>
      <c r="G10" s="47">
        <v>3500.0</v>
      </c>
      <c r="H10" s="10"/>
      <c r="I10" s="48">
        <v>6256782.0</v>
      </c>
      <c r="J10" s="48" t="s">
        <v>63</v>
      </c>
      <c r="K10" s="48">
        <v>120.22</v>
      </c>
      <c r="L10" s="49">
        <v>500.0</v>
      </c>
      <c r="M10" s="10"/>
      <c r="N10" s="39" t="s">
        <v>64</v>
      </c>
      <c r="O10" s="40"/>
      <c r="P10" s="22">
        <v>300.0</v>
      </c>
      <c r="Q10" s="41"/>
      <c r="R10" s="10"/>
      <c r="S10" s="10"/>
      <c r="T10" s="10"/>
    </row>
    <row r="11">
      <c r="A11" s="42">
        <v>818.0</v>
      </c>
      <c r="B11" s="43">
        <v>46083.0</v>
      </c>
      <c r="C11" s="44" t="s">
        <v>65</v>
      </c>
      <c r="D11" s="45">
        <v>46084.0</v>
      </c>
      <c r="E11" s="44" t="s">
        <v>66</v>
      </c>
      <c r="F11" s="46">
        <v>454.0</v>
      </c>
      <c r="G11" s="47">
        <v>1100.0</v>
      </c>
      <c r="H11" s="10"/>
      <c r="I11" s="48">
        <v>7170.0</v>
      </c>
      <c r="J11" s="48" t="s">
        <v>67</v>
      </c>
      <c r="K11" s="48">
        <v>119.439</v>
      </c>
      <c r="L11" s="49">
        <v>400.0</v>
      </c>
      <c r="M11" s="10"/>
      <c r="N11" s="39" t="s">
        <v>68</v>
      </c>
      <c r="O11" s="40" t="s">
        <v>69</v>
      </c>
      <c r="P11" s="22">
        <v>200.0</v>
      </c>
      <c r="Q11" s="41"/>
      <c r="R11" s="10"/>
      <c r="S11" s="10"/>
      <c r="T11" s="10"/>
    </row>
    <row r="12">
      <c r="A12" s="42">
        <v>819.0</v>
      </c>
      <c r="B12" s="43">
        <v>46084.0</v>
      </c>
      <c r="C12" s="44" t="s">
        <v>70</v>
      </c>
      <c r="D12" s="45">
        <v>46085.0</v>
      </c>
      <c r="E12" s="44" t="s">
        <v>71</v>
      </c>
      <c r="F12" s="46">
        <v>407.0</v>
      </c>
      <c r="G12" s="47">
        <v>1500.0</v>
      </c>
      <c r="H12" s="10"/>
      <c r="I12" s="48">
        <v>3284990.0</v>
      </c>
      <c r="J12" s="48" t="s">
        <v>72</v>
      </c>
      <c r="K12" s="48">
        <v>91.106</v>
      </c>
      <c r="L12" s="49">
        <v>433.57</v>
      </c>
      <c r="M12" s="10"/>
      <c r="N12" s="30" t="s">
        <v>73</v>
      </c>
      <c r="O12" s="31" t="s">
        <v>74</v>
      </c>
      <c r="P12" s="22">
        <v>26.65</v>
      </c>
      <c r="Q12" s="41"/>
      <c r="R12" s="10"/>
      <c r="S12" s="10"/>
      <c r="T12" s="10"/>
    </row>
    <row r="13">
      <c r="A13" s="42">
        <v>821.0</v>
      </c>
      <c r="B13" s="43">
        <v>46085.0</v>
      </c>
      <c r="C13" s="44" t="s">
        <v>75</v>
      </c>
      <c r="D13" s="45">
        <v>46086.0</v>
      </c>
      <c r="E13" s="44" t="s">
        <v>76</v>
      </c>
      <c r="F13" s="46">
        <v>323.0</v>
      </c>
      <c r="G13" s="47">
        <v>1300.0</v>
      </c>
      <c r="H13" s="10"/>
      <c r="I13" s="48">
        <v>4736.0</v>
      </c>
      <c r="J13" s="48" t="s">
        <v>77</v>
      </c>
      <c r="K13" s="48">
        <v>83.353</v>
      </c>
      <c r="L13" s="49">
        <v>350.0</v>
      </c>
      <c r="M13" s="10"/>
      <c r="N13" s="30" t="s">
        <v>78</v>
      </c>
      <c r="O13" s="31">
        <v>1060076.0</v>
      </c>
      <c r="P13" s="22">
        <v>500.0</v>
      </c>
      <c r="Q13" s="41"/>
      <c r="R13" s="10"/>
      <c r="S13" s="10"/>
      <c r="T13" s="10"/>
    </row>
    <row r="14">
      <c r="A14" s="42">
        <v>825.0</v>
      </c>
      <c r="B14" s="43">
        <v>46086.0</v>
      </c>
      <c r="C14" s="44" t="s">
        <v>79</v>
      </c>
      <c r="D14" s="45">
        <v>46087.0</v>
      </c>
      <c r="E14" s="44" t="s">
        <v>80</v>
      </c>
      <c r="F14" s="46">
        <v>420.0</v>
      </c>
      <c r="G14" s="47">
        <v>1175.0</v>
      </c>
      <c r="H14" s="10"/>
      <c r="I14" s="48">
        <v>35.0</v>
      </c>
      <c r="J14" s="48" t="s">
        <v>81</v>
      </c>
      <c r="K14" s="48">
        <v>63.843</v>
      </c>
      <c r="L14" s="49">
        <v>300.0</v>
      </c>
      <c r="M14" s="10"/>
      <c r="N14" s="30" t="s">
        <v>78</v>
      </c>
      <c r="O14" s="31">
        <v>21.0</v>
      </c>
      <c r="P14" s="22">
        <v>450.0</v>
      </c>
      <c r="Q14" s="41"/>
      <c r="R14" s="10"/>
      <c r="S14" s="10"/>
      <c r="T14" s="10"/>
    </row>
    <row r="15">
      <c r="A15" s="42">
        <v>829.0</v>
      </c>
      <c r="B15" s="45">
        <v>46087.0</v>
      </c>
      <c r="C15" s="44" t="s">
        <v>82</v>
      </c>
      <c r="D15" s="45">
        <v>46090.0</v>
      </c>
      <c r="E15" s="44" t="s">
        <v>83</v>
      </c>
      <c r="F15" s="46">
        <v>1330.0</v>
      </c>
      <c r="G15" s="47">
        <v>3700.0</v>
      </c>
      <c r="H15" s="10"/>
      <c r="I15" s="30">
        <v>98723.0</v>
      </c>
      <c r="J15" s="30" t="s">
        <v>84</v>
      </c>
      <c r="K15" s="30">
        <v>118.43</v>
      </c>
      <c r="L15" s="51">
        <v>500.0</v>
      </c>
      <c r="M15" s="10"/>
      <c r="N15" s="30" t="s">
        <v>85</v>
      </c>
      <c r="O15" s="31" t="s">
        <v>86</v>
      </c>
      <c r="P15" s="22">
        <v>9.5</v>
      </c>
      <c r="Q15" s="41"/>
      <c r="R15" s="10"/>
      <c r="S15" s="10"/>
      <c r="T15" s="10"/>
      <c r="V15" s="1">
        <v>2634.0</v>
      </c>
    </row>
    <row r="16">
      <c r="A16" s="42">
        <v>840.0</v>
      </c>
      <c r="B16" s="43">
        <v>46091.0</v>
      </c>
      <c r="C16" s="44" t="s">
        <v>87</v>
      </c>
      <c r="D16" s="45">
        <v>46093.0</v>
      </c>
      <c r="E16" s="44" t="s">
        <v>88</v>
      </c>
      <c r="F16" s="46">
        <v>1398.0</v>
      </c>
      <c r="G16" s="47">
        <v>2500.0</v>
      </c>
      <c r="H16" s="10"/>
      <c r="I16" s="30">
        <v>1060076.0</v>
      </c>
      <c r="J16" s="30" t="s">
        <v>89</v>
      </c>
      <c r="K16" s="30">
        <v>121.981</v>
      </c>
      <c r="L16" s="51">
        <v>500.0</v>
      </c>
      <c r="M16" s="10"/>
      <c r="N16" s="30" t="s">
        <v>85</v>
      </c>
      <c r="O16" s="31" t="s">
        <v>86</v>
      </c>
      <c r="P16" s="22">
        <v>11.5</v>
      </c>
      <c r="Q16" s="41"/>
      <c r="R16" s="10"/>
      <c r="S16" s="10"/>
      <c r="T16" s="10"/>
      <c r="V16" s="1">
        <v>1084.0</v>
      </c>
    </row>
    <row r="17">
      <c r="A17" s="42">
        <v>871.0</v>
      </c>
      <c r="B17" s="43">
        <v>46093.0</v>
      </c>
      <c r="C17" s="44" t="s">
        <v>90</v>
      </c>
      <c r="D17" s="45">
        <v>46094.0</v>
      </c>
      <c r="E17" s="44" t="s">
        <v>91</v>
      </c>
      <c r="F17" s="46">
        <v>350.0</v>
      </c>
      <c r="G17" s="47">
        <v>1400.0</v>
      </c>
      <c r="H17" s="10"/>
      <c r="I17" s="30">
        <v>3425360.0</v>
      </c>
      <c r="J17" s="30" t="s">
        <v>72</v>
      </c>
      <c r="K17" s="30">
        <v>66.091</v>
      </c>
      <c r="L17" s="51">
        <v>340.3</v>
      </c>
      <c r="M17" s="10"/>
      <c r="N17" s="30" t="s">
        <v>40</v>
      </c>
      <c r="O17" s="31" t="s">
        <v>92</v>
      </c>
      <c r="P17" s="52"/>
      <c r="Q17" s="23">
        <v>3393.0</v>
      </c>
      <c r="R17" s="10"/>
      <c r="S17" s="10"/>
      <c r="T17" s="10"/>
    </row>
    <row r="18">
      <c r="A18" s="42">
        <v>853.0</v>
      </c>
      <c r="B18" s="43">
        <v>46094.0</v>
      </c>
      <c r="C18" s="44" t="s">
        <v>93</v>
      </c>
      <c r="D18" s="45">
        <v>46097.0</v>
      </c>
      <c r="E18" s="44" t="s">
        <v>83</v>
      </c>
      <c r="F18" s="46">
        <v>1341.0</v>
      </c>
      <c r="G18" s="47">
        <v>3350.0</v>
      </c>
      <c r="H18" s="10"/>
      <c r="I18" s="30">
        <v>21.0</v>
      </c>
      <c r="J18" s="30" t="s">
        <v>94</v>
      </c>
      <c r="K18" s="30">
        <v>95.765</v>
      </c>
      <c r="L18" s="51">
        <v>450.0</v>
      </c>
      <c r="M18" s="10"/>
      <c r="N18" s="53" t="s">
        <v>95</v>
      </c>
      <c r="O18" s="54" t="s">
        <v>69</v>
      </c>
      <c r="P18" s="22">
        <v>310.0</v>
      </c>
      <c r="Q18" s="23"/>
      <c r="R18" s="10"/>
      <c r="S18" s="10"/>
      <c r="T18" s="10"/>
    </row>
    <row r="19">
      <c r="A19" s="42">
        <v>862.0</v>
      </c>
      <c r="B19" s="43">
        <v>46099.0</v>
      </c>
      <c r="C19" s="44" t="s">
        <v>96</v>
      </c>
      <c r="D19" s="45">
        <v>46100.0</v>
      </c>
      <c r="E19" s="44" t="s">
        <v>97</v>
      </c>
      <c r="F19" s="46">
        <v>334.0</v>
      </c>
      <c r="G19" s="47">
        <v>1500.0</v>
      </c>
      <c r="H19" s="10"/>
      <c r="I19" s="30">
        <v>2.8011286E7</v>
      </c>
      <c r="J19" s="30" t="s">
        <v>98</v>
      </c>
      <c r="K19" s="30">
        <v>85.124</v>
      </c>
      <c r="L19" s="51">
        <v>400.0</v>
      </c>
      <c r="M19" s="10"/>
      <c r="N19" s="44" t="s">
        <v>99</v>
      </c>
      <c r="O19" s="46" t="s">
        <v>100</v>
      </c>
      <c r="P19" s="52">
        <v>417.51</v>
      </c>
      <c r="Q19" s="55"/>
      <c r="R19" s="10"/>
      <c r="S19" s="10"/>
      <c r="T19" s="10"/>
    </row>
    <row r="20">
      <c r="A20" s="42">
        <v>876.0</v>
      </c>
      <c r="B20" s="43">
        <v>46097.0</v>
      </c>
      <c r="C20" s="44" t="s">
        <v>83</v>
      </c>
      <c r="D20" s="45">
        <v>46099.0</v>
      </c>
      <c r="E20" s="44" t="s">
        <v>101</v>
      </c>
      <c r="F20" s="46">
        <v>1100.0</v>
      </c>
      <c r="G20" s="47">
        <v>2000.0</v>
      </c>
      <c r="H20" s="10"/>
      <c r="I20" s="30">
        <v>155601.0</v>
      </c>
      <c r="J20" s="30" t="s">
        <v>102</v>
      </c>
      <c r="K20" s="30">
        <v>59.418</v>
      </c>
      <c r="L20" s="56">
        <v>300.0</v>
      </c>
      <c r="M20" s="10"/>
      <c r="N20" s="44" t="s">
        <v>103</v>
      </c>
      <c r="O20" s="46"/>
      <c r="P20" s="52">
        <v>41.6</v>
      </c>
      <c r="Q20" s="41"/>
      <c r="R20" s="10"/>
      <c r="S20" s="10"/>
      <c r="T20" s="10"/>
    </row>
    <row r="21">
      <c r="A21" s="42">
        <v>894.0</v>
      </c>
      <c r="B21" s="45">
        <v>46100.0</v>
      </c>
      <c r="C21" s="44" t="s">
        <v>104</v>
      </c>
      <c r="D21" s="45">
        <v>46101.0</v>
      </c>
      <c r="E21" s="44" t="s">
        <v>105</v>
      </c>
      <c r="F21" s="46">
        <v>550.0</v>
      </c>
      <c r="G21" s="47">
        <v>1329.5</v>
      </c>
      <c r="H21" s="10"/>
      <c r="I21" s="30">
        <v>5842793.0</v>
      </c>
      <c r="J21" s="30" t="s">
        <v>106</v>
      </c>
      <c r="K21" s="30">
        <v>31.724</v>
      </c>
      <c r="L21" s="51">
        <v>170.01</v>
      </c>
      <c r="M21" s="10"/>
      <c r="N21" s="44" t="s">
        <v>107</v>
      </c>
      <c r="O21" s="46" t="s">
        <v>108</v>
      </c>
      <c r="P21" s="52">
        <v>692.36</v>
      </c>
      <c r="Q21" s="41"/>
      <c r="R21" s="10"/>
      <c r="S21" s="10"/>
      <c r="T21" s="10"/>
    </row>
    <row r="22">
      <c r="A22" s="42">
        <v>893.0</v>
      </c>
      <c r="B22" s="45">
        <v>46101.0</v>
      </c>
      <c r="C22" s="44" t="s">
        <v>109</v>
      </c>
      <c r="D22" s="45">
        <v>46104.0</v>
      </c>
      <c r="E22" s="44" t="s">
        <v>83</v>
      </c>
      <c r="F22" s="46">
        <v>1010.0</v>
      </c>
      <c r="G22" s="47">
        <v>4050.0</v>
      </c>
      <c r="H22" s="10"/>
      <c r="I22" s="30">
        <v>4015860.0</v>
      </c>
      <c r="J22" s="30" t="s">
        <v>110</v>
      </c>
      <c r="K22" s="30">
        <v>106.412</v>
      </c>
      <c r="L22" s="51">
        <v>500.03</v>
      </c>
      <c r="M22" s="10"/>
      <c r="N22" s="44" t="s">
        <v>99</v>
      </c>
      <c r="O22" s="46" t="s">
        <v>111</v>
      </c>
      <c r="P22" s="52">
        <v>619.77</v>
      </c>
      <c r="Q22" s="41"/>
      <c r="R22" s="10"/>
      <c r="S22" s="10"/>
      <c r="T22" s="10"/>
    </row>
    <row r="23">
      <c r="A23" s="42">
        <v>898.0</v>
      </c>
      <c r="B23" s="43">
        <v>46105.0</v>
      </c>
      <c r="C23" s="44" t="s">
        <v>83</v>
      </c>
      <c r="D23" s="45">
        <v>46107.0</v>
      </c>
      <c r="E23" s="44" t="s">
        <v>105</v>
      </c>
      <c r="F23" s="46">
        <v>1200.0</v>
      </c>
      <c r="G23" s="47">
        <v>2700.0</v>
      </c>
      <c r="H23" s="10"/>
      <c r="I23" s="30">
        <v>71.0</v>
      </c>
      <c r="J23" s="30" t="s">
        <v>112</v>
      </c>
      <c r="K23" s="30">
        <v>81.649</v>
      </c>
      <c r="L23" s="51">
        <v>400.0</v>
      </c>
      <c r="M23" s="10"/>
      <c r="N23" s="30" t="s">
        <v>78</v>
      </c>
      <c r="O23" s="31">
        <v>2.8011286E7</v>
      </c>
      <c r="P23" s="52">
        <v>400.0</v>
      </c>
      <c r="Q23" s="41"/>
      <c r="R23" s="10"/>
      <c r="S23" s="10"/>
      <c r="T23" s="10"/>
    </row>
    <row r="24">
      <c r="A24" s="42">
        <v>903.0</v>
      </c>
      <c r="B24" s="43">
        <v>46107.0</v>
      </c>
      <c r="C24" s="44" t="s">
        <v>113</v>
      </c>
      <c r="D24" s="45">
        <v>46108.0</v>
      </c>
      <c r="E24" s="44" t="s">
        <v>114</v>
      </c>
      <c r="F24" s="46">
        <v>500.0</v>
      </c>
      <c r="G24" s="47">
        <v>2200.0</v>
      </c>
      <c r="H24" s="10"/>
      <c r="I24" s="30">
        <v>17201.0</v>
      </c>
      <c r="J24" s="30" t="s">
        <v>115</v>
      </c>
      <c r="K24" s="30">
        <v>86.66</v>
      </c>
      <c r="L24" s="51">
        <v>454.01</v>
      </c>
      <c r="M24" s="10"/>
      <c r="N24" s="39" t="s">
        <v>116</v>
      </c>
      <c r="O24" s="40" t="s">
        <v>117</v>
      </c>
      <c r="P24" s="52">
        <v>425.0</v>
      </c>
      <c r="Q24" s="41"/>
      <c r="R24" s="10"/>
      <c r="S24" s="10"/>
      <c r="T24" s="10"/>
    </row>
    <row r="25">
      <c r="A25" s="42">
        <v>906.0</v>
      </c>
      <c r="B25" s="45">
        <v>46108.0</v>
      </c>
      <c r="C25" s="44" t="s">
        <v>118</v>
      </c>
      <c r="D25" s="45">
        <v>46111.0</v>
      </c>
      <c r="E25" s="44" t="s">
        <v>83</v>
      </c>
      <c r="F25" s="57"/>
      <c r="G25" s="47">
        <v>3800.0</v>
      </c>
      <c r="H25" s="10"/>
      <c r="I25" s="30">
        <v>1190021.0</v>
      </c>
      <c r="J25" s="30" t="s">
        <v>119</v>
      </c>
      <c r="K25" s="30">
        <v>53.967</v>
      </c>
      <c r="L25" s="51">
        <v>300.0</v>
      </c>
      <c r="M25" s="10"/>
      <c r="N25" s="30" t="s">
        <v>78</v>
      </c>
      <c r="O25" s="31">
        <v>3425360.0</v>
      </c>
      <c r="P25" s="52">
        <v>340.3</v>
      </c>
      <c r="Q25" s="41"/>
      <c r="R25" s="10"/>
      <c r="S25" s="10"/>
      <c r="T25" s="10"/>
    </row>
    <row r="26">
      <c r="A26" s="58"/>
      <c r="B26" s="59"/>
      <c r="C26" s="60"/>
      <c r="D26" s="61"/>
      <c r="E26" s="60"/>
      <c r="F26" s="59"/>
      <c r="G26" s="62">
        <f>SUM(G9:G25)</f>
        <v>38004.5</v>
      </c>
      <c r="H26" s="10"/>
      <c r="I26" s="30">
        <v>21.0</v>
      </c>
      <c r="J26" s="30" t="s">
        <v>120</v>
      </c>
      <c r="K26" s="30">
        <v>60.012</v>
      </c>
      <c r="L26" s="51">
        <v>300.0</v>
      </c>
      <c r="M26" s="10"/>
      <c r="N26" s="30" t="s">
        <v>73</v>
      </c>
      <c r="O26" s="31">
        <v>3425360.0</v>
      </c>
      <c r="P26" s="52">
        <v>59.7</v>
      </c>
      <c r="Q26" s="63"/>
      <c r="R26" s="10"/>
      <c r="S26" s="10"/>
      <c r="T26" s="10"/>
    </row>
    <row r="27">
      <c r="A27" s="58"/>
      <c r="B27" s="59"/>
      <c r="C27" s="60"/>
      <c r="D27" s="61"/>
      <c r="E27" s="60"/>
      <c r="F27" s="59"/>
      <c r="G27" s="62">
        <f>COUNT(G9:G25)</f>
        <v>17</v>
      </c>
      <c r="H27" s="10"/>
      <c r="I27" s="30">
        <v>18042.0</v>
      </c>
      <c r="J27" s="30" t="s">
        <v>121</v>
      </c>
      <c r="K27" s="30">
        <v>100.044</v>
      </c>
      <c r="L27" s="51">
        <v>500.12</v>
      </c>
      <c r="M27" s="10"/>
      <c r="N27" s="39" t="s">
        <v>122</v>
      </c>
      <c r="O27" s="40" t="s">
        <v>123</v>
      </c>
      <c r="P27" s="52">
        <v>92.53</v>
      </c>
      <c r="Q27" s="63"/>
      <c r="R27" s="10"/>
      <c r="S27" s="10"/>
      <c r="T27" s="10"/>
    </row>
    <row r="28">
      <c r="A28" s="58"/>
      <c r="B28" s="59"/>
      <c r="C28" s="60"/>
      <c r="D28" s="61"/>
      <c r="E28" s="60"/>
      <c r="F28" s="59"/>
      <c r="G28" s="62">
        <f>G26/G27</f>
        <v>2235.558824</v>
      </c>
      <c r="H28" s="10"/>
      <c r="I28" s="30">
        <v>1017819.0</v>
      </c>
      <c r="J28" s="30" t="s">
        <v>110</v>
      </c>
      <c r="K28" s="30">
        <v>117.67</v>
      </c>
      <c r="L28" s="51">
        <v>600.0</v>
      </c>
      <c r="M28" s="10"/>
      <c r="N28" s="30" t="s">
        <v>32</v>
      </c>
      <c r="O28" s="31">
        <v>155601.0</v>
      </c>
      <c r="P28" s="52">
        <v>300.0</v>
      </c>
      <c r="Q28" s="63"/>
      <c r="R28" s="10"/>
      <c r="S28" s="10"/>
      <c r="T28" s="10"/>
    </row>
    <row r="29">
      <c r="A29" s="58"/>
      <c r="B29" s="59"/>
      <c r="C29" s="60"/>
      <c r="D29" s="61"/>
      <c r="E29" s="60"/>
      <c r="F29" s="59"/>
      <c r="G29" s="62"/>
      <c r="H29" s="10"/>
      <c r="I29" s="30">
        <v>17833.0</v>
      </c>
      <c r="J29" s="30" t="s">
        <v>124</v>
      </c>
      <c r="K29" s="30">
        <v>80.477</v>
      </c>
      <c r="L29" s="51">
        <v>394.11</v>
      </c>
      <c r="M29" s="10"/>
      <c r="N29" s="30" t="s">
        <v>78</v>
      </c>
      <c r="O29" s="31">
        <v>5842793.0</v>
      </c>
      <c r="P29" s="52">
        <v>170.01</v>
      </c>
      <c r="Q29" s="63"/>
      <c r="R29" s="10"/>
      <c r="S29" s="10"/>
      <c r="T29" s="10"/>
    </row>
    <row r="30">
      <c r="A30" s="58"/>
      <c r="B30" s="59"/>
      <c r="C30" s="60"/>
      <c r="D30" s="64"/>
      <c r="E30" s="60"/>
      <c r="F30" s="65" t="s">
        <v>20</v>
      </c>
      <c r="G30" s="66">
        <f>SUM(G9:G29)</f>
        <v>78261.55882</v>
      </c>
      <c r="H30" s="10"/>
      <c r="I30" s="30">
        <v>2809941.0</v>
      </c>
      <c r="J30" s="30" t="s">
        <v>125</v>
      </c>
      <c r="K30" s="30">
        <v>114.705</v>
      </c>
      <c r="L30" s="51">
        <v>500.0</v>
      </c>
      <c r="M30" s="10"/>
      <c r="N30" s="30" t="s">
        <v>73</v>
      </c>
      <c r="O30" s="31">
        <v>5842793.0</v>
      </c>
      <c r="P30" s="52">
        <v>71.96</v>
      </c>
      <c r="Q30" s="63"/>
      <c r="R30" s="10"/>
      <c r="S30" s="10"/>
      <c r="T30" s="10"/>
    </row>
    <row r="31">
      <c r="A31" s="34"/>
      <c r="B31" s="10"/>
      <c r="C31" s="10"/>
      <c r="D31" s="67"/>
      <c r="E31" s="10"/>
      <c r="F31" s="10"/>
      <c r="G31" s="10"/>
      <c r="H31" s="10"/>
      <c r="I31" s="30">
        <v>2809948.0</v>
      </c>
      <c r="J31" s="30" t="s">
        <v>125</v>
      </c>
      <c r="K31" s="30">
        <v>7.57</v>
      </c>
      <c r="L31" s="51">
        <v>33.0</v>
      </c>
      <c r="M31" s="10"/>
      <c r="N31" s="30" t="s">
        <v>78</v>
      </c>
      <c r="O31" s="31">
        <v>4015860.0</v>
      </c>
      <c r="P31" s="68">
        <v>500.03</v>
      </c>
      <c r="Q31" s="63"/>
      <c r="R31" s="10"/>
      <c r="S31" s="10"/>
      <c r="T31" s="10"/>
    </row>
    <row r="32">
      <c r="A32" s="10"/>
      <c r="B32" s="10"/>
      <c r="C32" s="10"/>
      <c r="D32" s="67"/>
      <c r="E32" s="10"/>
      <c r="F32" s="10"/>
      <c r="G32" s="10"/>
      <c r="H32" s="10"/>
      <c r="I32" s="69">
        <v>16436.0</v>
      </c>
      <c r="J32" s="30" t="s">
        <v>126</v>
      </c>
      <c r="K32" s="30">
        <v>56.614</v>
      </c>
      <c r="L32" s="51">
        <v>300.0</v>
      </c>
      <c r="M32" s="10"/>
      <c r="N32" s="30" t="s">
        <v>40</v>
      </c>
      <c r="O32" s="31" t="s">
        <v>127</v>
      </c>
      <c r="P32" s="70"/>
      <c r="Q32" s="41">
        <v>829.0</v>
      </c>
      <c r="R32" s="10"/>
      <c r="S32" s="10"/>
      <c r="T32" s="10"/>
    </row>
    <row r="33">
      <c r="A33" s="10"/>
      <c r="B33" s="11" t="s">
        <v>128</v>
      </c>
      <c r="D33" s="67"/>
      <c r="E33" s="10"/>
      <c r="F33" s="10"/>
      <c r="G33" s="10"/>
      <c r="H33" s="10"/>
      <c r="I33" s="30">
        <v>1181.0</v>
      </c>
      <c r="J33" s="30" t="s">
        <v>129</v>
      </c>
      <c r="K33" s="30">
        <v>57.703</v>
      </c>
      <c r="L33" s="51">
        <v>300.0</v>
      </c>
      <c r="M33" s="10"/>
      <c r="N33" s="30" t="s">
        <v>40</v>
      </c>
      <c r="O33" s="31" t="s">
        <v>130</v>
      </c>
      <c r="P33" s="71"/>
      <c r="Q33" s="41">
        <v>829.0</v>
      </c>
      <c r="R33" s="10"/>
      <c r="S33" s="10"/>
      <c r="T33" s="10"/>
    </row>
    <row r="34">
      <c r="A34" s="14" t="s">
        <v>131</v>
      </c>
      <c r="B34" s="14" t="s">
        <v>132</v>
      </c>
      <c r="C34" s="72" t="s">
        <v>133</v>
      </c>
      <c r="D34" s="73"/>
      <c r="E34" s="74" t="s">
        <v>134</v>
      </c>
      <c r="F34" s="10"/>
      <c r="G34" s="10"/>
      <c r="H34" s="10"/>
      <c r="I34" s="30">
        <v>1018683.0</v>
      </c>
      <c r="J34" s="30" t="s">
        <v>110</v>
      </c>
      <c r="K34" s="30">
        <v>1000.0</v>
      </c>
      <c r="L34" s="51">
        <v>600.0</v>
      </c>
      <c r="M34" s="10"/>
      <c r="N34" s="30" t="s">
        <v>40</v>
      </c>
      <c r="O34" s="31" t="s">
        <v>135</v>
      </c>
      <c r="P34" s="71"/>
      <c r="Q34" s="41">
        <v>990.0</v>
      </c>
      <c r="R34" s="10"/>
      <c r="S34" s="10"/>
      <c r="T34" s="10"/>
    </row>
    <row r="35">
      <c r="A35" s="75" t="s">
        <v>73</v>
      </c>
      <c r="B35" s="75"/>
      <c r="C35" s="76" t="s">
        <v>136</v>
      </c>
      <c r="D35" s="77"/>
      <c r="E35" s="78">
        <v>66.43</v>
      </c>
      <c r="F35" s="10"/>
      <c r="G35" s="10"/>
      <c r="H35" s="10"/>
      <c r="I35" s="30">
        <v>1019332.0</v>
      </c>
      <c r="J35" s="30" t="s">
        <v>110</v>
      </c>
      <c r="K35" s="30">
        <v>1000.0</v>
      </c>
      <c r="L35" s="51">
        <v>700.0</v>
      </c>
      <c r="M35" s="10"/>
      <c r="N35" s="30" t="s">
        <v>40</v>
      </c>
      <c r="O35" s="31" t="s">
        <v>137</v>
      </c>
      <c r="P35" s="71"/>
      <c r="Q35" s="41">
        <v>1022.0</v>
      </c>
      <c r="R35" s="10"/>
      <c r="S35" s="10"/>
      <c r="T35" s="10"/>
    </row>
    <row r="36">
      <c r="A36" s="21" t="s">
        <v>73</v>
      </c>
      <c r="B36" s="21"/>
      <c r="C36" s="79" t="s">
        <v>73</v>
      </c>
      <c r="D36" s="73"/>
      <c r="E36" s="80">
        <v>26.65</v>
      </c>
      <c r="F36" s="10"/>
      <c r="G36" s="10"/>
      <c r="H36" s="10"/>
      <c r="I36" s="30">
        <v>94640.0</v>
      </c>
      <c r="J36" s="30" t="s">
        <v>138</v>
      </c>
      <c r="K36" s="30">
        <v>51.029</v>
      </c>
      <c r="L36" s="51">
        <v>300.0</v>
      </c>
      <c r="M36" s="10"/>
      <c r="N36" s="30" t="s">
        <v>11</v>
      </c>
      <c r="O36" s="31" t="s">
        <v>139</v>
      </c>
      <c r="P36" s="52">
        <v>1800.0</v>
      </c>
      <c r="Q36" s="63"/>
      <c r="R36" s="10"/>
      <c r="S36" s="10"/>
      <c r="T36" s="10"/>
    </row>
    <row r="37">
      <c r="A37" s="21" t="s">
        <v>35</v>
      </c>
      <c r="B37" s="21">
        <v>3425360.0</v>
      </c>
      <c r="C37" s="79" t="s">
        <v>73</v>
      </c>
      <c r="D37" s="73"/>
      <c r="E37" s="80">
        <v>59.7</v>
      </c>
      <c r="F37" s="10"/>
      <c r="G37" s="10"/>
      <c r="H37" s="10"/>
      <c r="I37" s="30">
        <v>2378125.0</v>
      </c>
      <c r="J37" s="30" t="s">
        <v>140</v>
      </c>
      <c r="K37" s="30">
        <v>51.203</v>
      </c>
      <c r="L37" s="51">
        <v>300.0</v>
      </c>
      <c r="M37" s="10"/>
      <c r="N37" s="30" t="s">
        <v>40</v>
      </c>
      <c r="O37" s="31" t="s">
        <v>141</v>
      </c>
      <c r="P37" s="71"/>
      <c r="Q37" s="41">
        <v>3219.0</v>
      </c>
      <c r="R37" s="10"/>
      <c r="S37" s="10"/>
      <c r="T37" s="10"/>
    </row>
    <row r="38">
      <c r="A38" s="21" t="s">
        <v>73</v>
      </c>
      <c r="B38" s="21">
        <v>5842793.0</v>
      </c>
      <c r="C38" s="79" t="s">
        <v>142</v>
      </c>
      <c r="D38" s="73"/>
      <c r="E38" s="80">
        <v>71.96</v>
      </c>
      <c r="F38" s="10"/>
      <c r="G38" s="10"/>
      <c r="H38" s="10"/>
      <c r="I38" s="30">
        <v>7465500.0</v>
      </c>
      <c r="J38" s="30" t="s">
        <v>143</v>
      </c>
      <c r="K38" s="30">
        <v>52.738</v>
      </c>
      <c r="L38" s="51">
        <v>300.55</v>
      </c>
      <c r="M38" s="10"/>
      <c r="N38" s="30" t="s">
        <v>60</v>
      </c>
      <c r="O38" s="31" t="s">
        <v>144</v>
      </c>
      <c r="P38" s="52">
        <v>2000.0</v>
      </c>
      <c r="Q38" s="63"/>
      <c r="R38" s="10"/>
      <c r="S38" s="10"/>
      <c r="T38" s="10"/>
    </row>
    <row r="39">
      <c r="A39" s="21" t="s">
        <v>73</v>
      </c>
      <c r="B39" s="21">
        <v>17201.0</v>
      </c>
      <c r="C39" s="79" t="s">
        <v>145</v>
      </c>
      <c r="D39" s="73"/>
      <c r="E39" s="80">
        <v>40.0</v>
      </c>
      <c r="F39" s="10"/>
      <c r="G39" s="10"/>
      <c r="H39" s="10"/>
      <c r="I39" s="30">
        <v>12614.0</v>
      </c>
      <c r="J39" s="30" t="s">
        <v>125</v>
      </c>
      <c r="K39" s="30">
        <v>52.641</v>
      </c>
      <c r="L39" s="51">
        <v>300.0</v>
      </c>
      <c r="M39" s="10"/>
      <c r="N39" s="30" t="s">
        <v>78</v>
      </c>
      <c r="O39" s="31">
        <v>71.0</v>
      </c>
      <c r="P39" s="52">
        <v>400.0</v>
      </c>
      <c r="Q39" s="63"/>
      <c r="R39" s="10"/>
      <c r="S39" s="10"/>
      <c r="T39" s="10"/>
    </row>
    <row r="40">
      <c r="A40" s="21" t="s">
        <v>73</v>
      </c>
      <c r="B40" s="21">
        <v>18042.0</v>
      </c>
      <c r="C40" s="79" t="s">
        <v>146</v>
      </c>
      <c r="D40" s="73"/>
      <c r="E40" s="80">
        <v>29.0</v>
      </c>
      <c r="F40" s="10"/>
      <c r="G40" s="10"/>
      <c r="H40" s="10"/>
      <c r="I40" s="69">
        <v>5596823.0</v>
      </c>
      <c r="J40" s="30" t="s">
        <v>147</v>
      </c>
      <c r="K40" s="30">
        <v>74.088</v>
      </c>
      <c r="L40" s="51">
        <v>400.0</v>
      </c>
      <c r="M40" s="10"/>
      <c r="N40" s="30" t="s">
        <v>78</v>
      </c>
      <c r="O40" s="31">
        <v>17201.0</v>
      </c>
      <c r="P40" s="52">
        <v>454.01</v>
      </c>
      <c r="Q40" s="63"/>
      <c r="R40" s="10"/>
      <c r="S40" s="10"/>
      <c r="T40" s="10"/>
    </row>
    <row r="41">
      <c r="A41" s="21" t="s">
        <v>73</v>
      </c>
      <c r="B41" s="21">
        <v>17834.0</v>
      </c>
      <c r="C41" s="79" t="s">
        <v>148</v>
      </c>
      <c r="D41" s="73"/>
      <c r="E41" s="80">
        <v>26.82</v>
      </c>
      <c r="F41" s="10"/>
      <c r="G41" s="10"/>
      <c r="H41" s="10"/>
      <c r="I41" s="69">
        <v>7136.0</v>
      </c>
      <c r="J41" s="30" t="s">
        <v>149</v>
      </c>
      <c r="K41" s="30">
        <v>130.026</v>
      </c>
      <c r="L41" s="51">
        <v>650.0</v>
      </c>
      <c r="M41" s="10"/>
      <c r="N41" s="30" t="s">
        <v>73</v>
      </c>
      <c r="O41" s="31">
        <v>17201.0</v>
      </c>
      <c r="P41" s="52">
        <v>40.0</v>
      </c>
      <c r="Q41" s="63"/>
      <c r="R41" s="10"/>
      <c r="S41" s="10"/>
      <c r="T41" s="10"/>
    </row>
    <row r="42">
      <c r="A42" s="21" t="s">
        <v>73</v>
      </c>
      <c r="B42" s="21">
        <v>2809948.0</v>
      </c>
      <c r="C42" s="79" t="s">
        <v>150</v>
      </c>
      <c r="D42" s="73"/>
      <c r="E42" s="80">
        <v>46.01</v>
      </c>
      <c r="F42" s="10"/>
      <c r="G42" s="10"/>
      <c r="H42" s="10"/>
      <c r="I42" s="30"/>
      <c r="J42" s="30"/>
      <c r="K42" s="30"/>
      <c r="L42" s="51"/>
      <c r="M42" s="10"/>
      <c r="N42" s="30" t="s">
        <v>78</v>
      </c>
      <c r="O42" s="31">
        <v>1190021.0</v>
      </c>
      <c r="P42" s="52">
        <v>300.0</v>
      </c>
      <c r="Q42" s="63"/>
      <c r="R42" s="10"/>
      <c r="S42" s="10"/>
      <c r="T42" s="10"/>
    </row>
    <row r="43">
      <c r="A43" s="21" t="s">
        <v>73</v>
      </c>
      <c r="B43" s="21">
        <v>246613.0</v>
      </c>
      <c r="C43" s="79" t="s">
        <v>151</v>
      </c>
      <c r="D43" s="73"/>
      <c r="E43" s="80">
        <v>52.42</v>
      </c>
      <c r="F43" s="10"/>
      <c r="G43" s="10"/>
      <c r="H43" s="10"/>
      <c r="I43" s="60"/>
      <c r="J43" s="60"/>
      <c r="K43" s="60"/>
      <c r="L43" s="81"/>
      <c r="M43" s="10"/>
      <c r="N43" s="30" t="s">
        <v>40</v>
      </c>
      <c r="O43" s="31" t="s">
        <v>152</v>
      </c>
      <c r="P43" s="71"/>
      <c r="Q43" s="41">
        <v>2175.0</v>
      </c>
      <c r="R43" s="10"/>
      <c r="S43" s="10"/>
      <c r="T43" s="10"/>
    </row>
    <row r="44">
      <c r="A44" s="21" t="s">
        <v>73</v>
      </c>
      <c r="B44" s="21">
        <v>7136.0</v>
      </c>
      <c r="C44" s="79" t="s">
        <v>153</v>
      </c>
      <c r="D44" s="73"/>
      <c r="E44" s="80">
        <v>50.0</v>
      </c>
      <c r="F44" s="10"/>
      <c r="G44" s="10"/>
      <c r="H44" s="10"/>
      <c r="I44" s="60"/>
      <c r="J44" s="60"/>
      <c r="K44" s="60"/>
      <c r="L44" s="81"/>
      <c r="M44" s="10"/>
      <c r="N44" s="30" t="s">
        <v>78</v>
      </c>
      <c r="O44" s="31">
        <v>21.0</v>
      </c>
      <c r="P44" s="52">
        <v>300.0</v>
      </c>
      <c r="Q44" s="63"/>
      <c r="R44" s="10"/>
      <c r="S44" s="10"/>
      <c r="T44" s="10"/>
    </row>
    <row r="45">
      <c r="A45" s="21"/>
      <c r="B45" s="21"/>
      <c r="C45" s="79"/>
      <c r="D45" s="73"/>
      <c r="E45" s="80"/>
      <c r="F45" s="10"/>
      <c r="G45" s="10"/>
      <c r="H45" s="10"/>
      <c r="I45" s="60"/>
      <c r="J45" s="60"/>
      <c r="K45" s="60"/>
      <c r="L45" s="81"/>
      <c r="M45" s="10"/>
      <c r="N45" s="30" t="s">
        <v>78</v>
      </c>
      <c r="O45" s="31">
        <v>18042.0</v>
      </c>
      <c r="P45" s="52">
        <v>500.12</v>
      </c>
      <c r="Q45" s="63"/>
      <c r="R45" s="10"/>
      <c r="S45" s="10"/>
      <c r="T45" s="10"/>
    </row>
    <row r="46">
      <c r="A46" s="58"/>
      <c r="B46" s="58"/>
      <c r="C46" s="82"/>
      <c r="D46" s="73"/>
      <c r="E46" s="83"/>
      <c r="F46" s="10"/>
      <c r="G46" s="10"/>
      <c r="H46" s="10"/>
      <c r="I46" s="60"/>
      <c r="J46" s="60"/>
      <c r="K46" s="60"/>
      <c r="L46" s="81"/>
      <c r="M46" s="10"/>
      <c r="N46" s="30" t="s">
        <v>73</v>
      </c>
      <c r="O46" s="31">
        <v>18042.0</v>
      </c>
      <c r="P46" s="84">
        <v>29.0</v>
      </c>
      <c r="Q46" s="63"/>
      <c r="R46" s="10"/>
      <c r="S46" s="10"/>
      <c r="T46" s="10"/>
    </row>
    <row r="47">
      <c r="A47" s="58"/>
      <c r="B47" s="58"/>
      <c r="C47" s="82"/>
      <c r="D47" s="73"/>
      <c r="E47" s="83"/>
      <c r="F47" s="10"/>
      <c r="G47" s="10"/>
      <c r="H47" s="10"/>
      <c r="I47" s="60"/>
      <c r="J47" s="60"/>
      <c r="K47" s="85" t="s">
        <v>154</v>
      </c>
      <c r="L47" s="86">
        <f>SUM(L9:L33)</f>
        <v>9537.15</v>
      </c>
      <c r="M47" s="10"/>
      <c r="N47" s="30" t="s">
        <v>78</v>
      </c>
      <c r="O47" s="31">
        <v>1017819.0</v>
      </c>
      <c r="P47" s="52">
        <v>600.0</v>
      </c>
      <c r="Q47" s="63"/>
      <c r="R47" s="10"/>
      <c r="S47" s="10"/>
      <c r="T47" s="10"/>
    </row>
    <row r="48">
      <c r="A48" s="58"/>
      <c r="B48" s="58"/>
      <c r="C48" s="82"/>
      <c r="D48" s="73"/>
      <c r="E48" s="83"/>
      <c r="F48" s="10"/>
      <c r="G48" s="10"/>
      <c r="H48" s="10"/>
      <c r="I48" s="10"/>
      <c r="J48" s="10"/>
      <c r="K48" s="10"/>
      <c r="L48" s="36"/>
      <c r="M48" s="10"/>
      <c r="N48" s="30" t="s">
        <v>40</v>
      </c>
      <c r="O48" s="31" t="s">
        <v>155</v>
      </c>
      <c r="P48" s="71"/>
      <c r="Q48" s="41">
        <v>1218.0</v>
      </c>
      <c r="R48" s="10"/>
      <c r="S48" s="10"/>
      <c r="T48" s="10"/>
    </row>
    <row r="49">
      <c r="A49" s="58"/>
      <c r="B49" s="58"/>
      <c r="C49" s="82"/>
      <c r="D49" s="73"/>
      <c r="E49" s="83"/>
      <c r="F49" s="10"/>
      <c r="G49" s="10"/>
      <c r="H49" s="10"/>
      <c r="I49" s="10"/>
      <c r="J49" s="10"/>
      <c r="K49" s="10"/>
      <c r="L49" s="36"/>
      <c r="M49" s="10"/>
      <c r="N49" s="30" t="s">
        <v>78</v>
      </c>
      <c r="O49" s="31">
        <v>17833.0</v>
      </c>
      <c r="P49" s="52">
        <v>394.11</v>
      </c>
      <c r="Q49" s="63"/>
      <c r="R49" s="10"/>
      <c r="S49" s="10"/>
      <c r="T49" s="10"/>
    </row>
    <row r="50">
      <c r="A50" s="58"/>
      <c r="B50" s="58"/>
      <c r="C50" s="82"/>
      <c r="D50" s="73"/>
      <c r="E50" s="83"/>
      <c r="F50" s="10"/>
      <c r="G50" s="10"/>
      <c r="H50" s="10"/>
      <c r="I50" s="10"/>
      <c r="J50" s="10"/>
      <c r="K50" s="16" t="s">
        <v>156</v>
      </c>
      <c r="L50" s="28">
        <f>G30</f>
        <v>78261.55882</v>
      </c>
      <c r="M50" s="10"/>
      <c r="N50" s="30" t="s">
        <v>73</v>
      </c>
      <c r="O50" s="31">
        <v>17834.0</v>
      </c>
      <c r="P50" s="52">
        <v>26.82</v>
      </c>
      <c r="Q50" s="63"/>
      <c r="R50" s="10"/>
      <c r="S50" s="10"/>
      <c r="T50" s="10"/>
    </row>
    <row r="51">
      <c r="A51" s="58"/>
      <c r="B51" s="58"/>
      <c r="C51" s="82"/>
      <c r="D51" s="73"/>
      <c r="E51" s="83"/>
      <c r="F51" s="10"/>
      <c r="G51" s="10"/>
      <c r="H51" s="10"/>
      <c r="I51" s="10"/>
      <c r="J51" s="10"/>
      <c r="K51" s="16" t="s">
        <v>157</v>
      </c>
      <c r="L51" s="28">
        <f>L47</f>
        <v>9537.15</v>
      </c>
      <c r="M51" s="10"/>
      <c r="N51" s="30" t="s">
        <v>40</v>
      </c>
      <c r="O51" s="31" t="s">
        <v>158</v>
      </c>
      <c r="P51" s="52"/>
      <c r="Q51" s="41">
        <v>2914.0</v>
      </c>
      <c r="R51" s="10"/>
      <c r="S51" s="10"/>
      <c r="T51" s="10"/>
    </row>
    <row r="52">
      <c r="A52" s="58"/>
      <c r="B52" s="58"/>
      <c r="C52" s="82"/>
      <c r="D52" s="73"/>
      <c r="E52" s="83"/>
      <c r="F52" s="10"/>
      <c r="G52" s="10"/>
      <c r="H52" s="10"/>
      <c r="I52" s="10"/>
      <c r="J52" s="10"/>
      <c r="K52" s="16" t="s">
        <v>128</v>
      </c>
      <c r="L52" s="28">
        <f>E55</f>
        <v>468.99</v>
      </c>
      <c r="M52" s="10"/>
      <c r="N52" s="30" t="s">
        <v>60</v>
      </c>
      <c r="O52" s="31" t="s">
        <v>159</v>
      </c>
      <c r="P52" s="52">
        <v>2000.0</v>
      </c>
      <c r="Q52" s="63"/>
      <c r="R52" s="10"/>
      <c r="S52" s="10"/>
      <c r="T52" s="10"/>
    </row>
    <row r="53">
      <c r="A53" s="58"/>
      <c r="B53" s="58"/>
      <c r="C53" s="82"/>
      <c r="D53" s="73"/>
      <c r="E53" s="83"/>
      <c r="F53" s="10"/>
      <c r="G53" s="10"/>
      <c r="H53" s="10"/>
      <c r="I53" s="10"/>
      <c r="J53" s="10"/>
      <c r="K53" s="16" t="s">
        <v>20</v>
      </c>
      <c r="L53" s="28">
        <f>L50-L51-L52</f>
        <v>68255.41882</v>
      </c>
      <c r="M53" s="10"/>
      <c r="N53" s="30" t="s">
        <v>40</v>
      </c>
      <c r="O53" s="31" t="s">
        <v>160</v>
      </c>
      <c r="P53" s="71"/>
      <c r="Q53" s="41">
        <v>1305.0</v>
      </c>
      <c r="R53" s="10"/>
      <c r="S53" s="10"/>
      <c r="T53" s="10"/>
    </row>
    <row r="54">
      <c r="A54" s="59"/>
      <c r="B54" s="59"/>
      <c r="C54" s="82"/>
      <c r="D54" s="73"/>
      <c r="E54" s="83"/>
      <c r="F54" s="10"/>
      <c r="G54" s="10"/>
      <c r="H54" s="10"/>
      <c r="I54" s="10"/>
      <c r="J54" s="10"/>
      <c r="K54" s="10"/>
      <c r="L54" s="36"/>
      <c r="M54" s="10"/>
      <c r="N54" s="30" t="s">
        <v>78</v>
      </c>
      <c r="O54" s="31">
        <v>2809941.0</v>
      </c>
      <c r="P54" s="52">
        <v>500.0</v>
      </c>
      <c r="Q54" s="63"/>
      <c r="R54" s="10"/>
      <c r="S54" s="10"/>
      <c r="T54" s="10"/>
    </row>
    <row r="55">
      <c r="A55" s="59"/>
      <c r="B55" s="59"/>
      <c r="C55" s="87" t="s">
        <v>20</v>
      </c>
      <c r="D55" s="73"/>
      <c r="E55" s="88">
        <f>SUM(E35:E54)</f>
        <v>468.99</v>
      </c>
      <c r="F55" s="10"/>
      <c r="G55" s="10"/>
      <c r="H55" s="10"/>
      <c r="I55" s="10"/>
      <c r="J55" s="10"/>
      <c r="K55" s="10"/>
      <c r="L55" s="36"/>
      <c r="M55" s="10"/>
      <c r="N55" s="30" t="s">
        <v>78</v>
      </c>
      <c r="O55" s="31">
        <v>2809948.0</v>
      </c>
      <c r="P55" s="52">
        <v>33.0</v>
      </c>
      <c r="Q55" s="63"/>
      <c r="R55" s="10"/>
      <c r="S55" s="10"/>
      <c r="T55" s="10"/>
    </row>
    <row r="56">
      <c r="A56" s="34"/>
      <c r="B56" s="10"/>
      <c r="C56" s="10"/>
      <c r="D56" s="67"/>
      <c r="E56" s="10"/>
      <c r="F56" s="10"/>
      <c r="G56" s="10"/>
      <c r="H56" s="10"/>
      <c r="I56" s="10"/>
      <c r="J56" s="10"/>
      <c r="K56" s="36"/>
      <c r="L56" s="10"/>
      <c r="M56" s="10"/>
      <c r="N56" s="30" t="s">
        <v>73</v>
      </c>
      <c r="O56" s="31">
        <v>2809948.0</v>
      </c>
      <c r="P56" s="89">
        <v>46.01</v>
      </c>
      <c r="Q56" s="90"/>
      <c r="R56" s="10"/>
      <c r="S56" s="10"/>
      <c r="T56" s="10"/>
    </row>
    <row r="57">
      <c r="A57" s="34"/>
      <c r="B57" s="10"/>
      <c r="C57" s="10"/>
      <c r="D57" s="67"/>
      <c r="E57" s="10"/>
      <c r="F57" s="10"/>
      <c r="G57" s="10"/>
      <c r="H57" s="10"/>
      <c r="I57" s="10"/>
      <c r="J57" s="10"/>
      <c r="K57" s="10"/>
      <c r="L57" s="36"/>
      <c r="M57" s="10"/>
      <c r="N57" s="30" t="s">
        <v>78</v>
      </c>
      <c r="O57" s="31">
        <v>16436.0</v>
      </c>
      <c r="P57" s="91">
        <v>300.0</v>
      </c>
      <c r="Q57" s="90"/>
      <c r="R57" s="10"/>
      <c r="S57" s="10"/>
      <c r="T57" s="10"/>
    </row>
    <row r="58">
      <c r="A58" s="34"/>
      <c r="B58" s="10"/>
      <c r="C58" s="10"/>
      <c r="D58" s="67"/>
      <c r="E58" s="10"/>
      <c r="F58" s="10"/>
      <c r="G58" s="10"/>
      <c r="H58" s="10"/>
      <c r="I58" s="10"/>
      <c r="J58" s="10"/>
      <c r="K58" s="10"/>
      <c r="L58" s="36"/>
      <c r="M58" s="10"/>
      <c r="N58" s="92" t="s">
        <v>78</v>
      </c>
      <c r="O58" s="31">
        <v>1181.0</v>
      </c>
      <c r="P58" s="93">
        <v>300.0</v>
      </c>
      <c r="Q58" s="90"/>
      <c r="R58" s="10"/>
      <c r="S58" s="10"/>
      <c r="T58" s="10"/>
    </row>
    <row r="59">
      <c r="A59" s="94" t="s">
        <v>161</v>
      </c>
      <c r="D59" s="95"/>
      <c r="K59" s="1"/>
      <c r="L59" s="56"/>
      <c r="M59" s="10"/>
      <c r="N59" s="30" t="s">
        <v>78</v>
      </c>
      <c r="O59" s="31">
        <v>1018683.0</v>
      </c>
      <c r="P59" s="91">
        <v>600.0</v>
      </c>
      <c r="Q59" s="90"/>
      <c r="R59" s="10"/>
      <c r="S59" s="10"/>
    </row>
    <row r="60">
      <c r="A60" s="94" t="s">
        <v>162</v>
      </c>
      <c r="B60" s="1">
        <v>1800.0</v>
      </c>
      <c r="D60" s="95"/>
      <c r="K60" s="1"/>
      <c r="L60" s="56"/>
      <c r="M60" s="10"/>
      <c r="N60" s="30" t="s">
        <v>11</v>
      </c>
      <c r="O60" s="31" t="s">
        <v>163</v>
      </c>
      <c r="P60" s="91">
        <v>1942.0</v>
      </c>
      <c r="Q60" s="90"/>
      <c r="R60" s="10"/>
      <c r="S60" s="10"/>
    </row>
    <row r="61">
      <c r="A61" s="94" t="s">
        <v>164</v>
      </c>
      <c r="B61" s="1">
        <v>200.0</v>
      </c>
      <c r="D61" s="95"/>
      <c r="K61" s="1"/>
      <c r="L61" s="56"/>
      <c r="M61" s="10"/>
      <c r="N61" s="30" t="s">
        <v>18</v>
      </c>
      <c r="O61" s="31" t="s">
        <v>165</v>
      </c>
      <c r="P61" s="91">
        <v>135.0</v>
      </c>
      <c r="Q61" s="90"/>
      <c r="R61" s="10"/>
      <c r="S61" s="10"/>
    </row>
    <row r="62">
      <c r="A62" s="94" t="s">
        <v>166</v>
      </c>
      <c r="B62" s="1">
        <v>900.0</v>
      </c>
      <c r="D62" s="95"/>
      <c r="L62" s="50"/>
      <c r="M62" s="10"/>
      <c r="N62" s="30" t="s">
        <v>40</v>
      </c>
      <c r="O62" s="31" t="s">
        <v>167</v>
      </c>
      <c r="P62" s="96"/>
      <c r="Q62" s="97">
        <v>1740.0</v>
      </c>
      <c r="R62" s="10"/>
      <c r="S62" s="10"/>
    </row>
    <row r="63">
      <c r="A63" s="94" t="s">
        <v>116</v>
      </c>
      <c r="B63" s="1">
        <v>500.0</v>
      </c>
      <c r="D63" s="95"/>
      <c r="L63" s="50"/>
      <c r="M63" s="10"/>
      <c r="N63" s="30" t="s">
        <v>40</v>
      </c>
      <c r="O63" s="31" t="s">
        <v>168</v>
      </c>
      <c r="P63" s="96"/>
      <c r="Q63" s="97">
        <v>1156.6</v>
      </c>
      <c r="R63" s="10"/>
      <c r="S63" s="10"/>
    </row>
    <row r="64">
      <c r="A64" s="94" t="s">
        <v>169</v>
      </c>
      <c r="B64" s="1">
        <v>75.0</v>
      </c>
      <c r="D64" s="95"/>
      <c r="L64" s="50"/>
      <c r="M64" s="10"/>
      <c r="N64" s="30" t="s">
        <v>122</v>
      </c>
      <c r="O64" s="31" t="s">
        <v>170</v>
      </c>
      <c r="P64" s="89">
        <v>264.5</v>
      </c>
      <c r="Q64" s="90"/>
      <c r="R64" s="10"/>
      <c r="S64" s="10"/>
    </row>
    <row r="65">
      <c r="A65" s="94" t="s">
        <v>171</v>
      </c>
      <c r="B65" s="1">
        <v>30.0</v>
      </c>
      <c r="D65" s="95"/>
      <c r="L65" s="50"/>
      <c r="M65" s="10"/>
      <c r="N65" s="30" t="s">
        <v>73</v>
      </c>
      <c r="O65" s="31">
        <v>246613.0</v>
      </c>
      <c r="P65" s="89">
        <v>52.42</v>
      </c>
      <c r="Q65" s="90"/>
      <c r="R65" s="10"/>
      <c r="S65" s="10"/>
    </row>
    <row r="66">
      <c r="A66" s="94" t="s">
        <v>172</v>
      </c>
      <c r="B66" s="1">
        <v>100.0</v>
      </c>
      <c r="D66" s="95"/>
      <c r="L66" s="50"/>
      <c r="M66" s="10"/>
      <c r="N66" s="30" t="s">
        <v>78</v>
      </c>
      <c r="O66" s="31">
        <v>1019332.0</v>
      </c>
      <c r="P66" s="89">
        <v>700.0</v>
      </c>
      <c r="Q66" s="90"/>
      <c r="R66" s="10"/>
      <c r="S66" s="10"/>
    </row>
    <row r="67">
      <c r="A67" s="98"/>
      <c r="B67" s="5">
        <f>SUM(B60:B66)</f>
        <v>3605</v>
      </c>
      <c r="D67" s="95"/>
      <c r="L67" s="50"/>
      <c r="M67" s="10"/>
      <c r="N67" s="30" t="s">
        <v>173</v>
      </c>
      <c r="O67" s="31" t="s">
        <v>174</v>
      </c>
      <c r="P67" s="52">
        <v>1578.0</v>
      </c>
      <c r="Q67" s="90"/>
      <c r="R67" s="10"/>
      <c r="S67" s="10"/>
    </row>
    <row r="68">
      <c r="A68" s="98"/>
      <c r="D68" s="95"/>
      <c r="L68" s="50"/>
      <c r="M68" s="10"/>
      <c r="N68" s="30" t="s">
        <v>40</v>
      </c>
      <c r="O68" s="31" t="s">
        <v>175</v>
      </c>
      <c r="P68" s="96"/>
      <c r="Q68" s="97">
        <v>3523.0</v>
      </c>
      <c r="R68" s="10"/>
      <c r="S68" s="10"/>
    </row>
    <row r="69">
      <c r="A69" s="98"/>
      <c r="D69" s="95"/>
      <c r="L69" s="50"/>
      <c r="M69" s="10"/>
      <c r="N69" s="99" t="s">
        <v>60</v>
      </c>
      <c r="O69" s="100" t="s">
        <v>176</v>
      </c>
      <c r="P69" s="101">
        <v>2000.0</v>
      </c>
      <c r="Q69" s="102"/>
      <c r="R69" s="10"/>
      <c r="S69" s="10"/>
    </row>
    <row r="70">
      <c r="A70" s="98"/>
      <c r="D70" s="95"/>
      <c r="L70" s="50"/>
      <c r="M70" s="10"/>
      <c r="N70" s="99" t="s">
        <v>78</v>
      </c>
      <c r="O70" s="100">
        <v>94640.0</v>
      </c>
      <c r="P70" s="103">
        <v>300.0</v>
      </c>
      <c r="Q70" s="102"/>
      <c r="R70" s="10"/>
      <c r="S70" s="10"/>
    </row>
    <row r="71">
      <c r="A71" s="98"/>
      <c r="D71" s="95"/>
      <c r="L71" s="50"/>
      <c r="M71" s="10"/>
      <c r="N71" s="99" t="s">
        <v>78</v>
      </c>
      <c r="O71" s="100">
        <v>2378125.0</v>
      </c>
      <c r="P71" s="103">
        <v>300.0</v>
      </c>
      <c r="Q71" s="102"/>
      <c r="R71" s="10"/>
      <c r="S71" s="10"/>
    </row>
    <row r="72">
      <c r="A72" s="98"/>
      <c r="D72" s="95"/>
      <c r="L72" s="50"/>
      <c r="M72" s="10"/>
      <c r="N72" s="99" t="s">
        <v>78</v>
      </c>
      <c r="O72" s="100">
        <v>7465500.0</v>
      </c>
      <c r="P72" s="103">
        <v>300.55</v>
      </c>
      <c r="Q72" s="102"/>
      <c r="R72" s="10"/>
      <c r="S72" s="10"/>
    </row>
    <row r="73">
      <c r="A73" s="98"/>
      <c r="D73" s="95"/>
      <c r="L73" s="50"/>
      <c r="M73" s="10"/>
      <c r="N73" s="99" t="s">
        <v>78</v>
      </c>
      <c r="O73" s="31">
        <v>12614.0</v>
      </c>
      <c r="P73" s="103">
        <v>300.0</v>
      </c>
      <c r="Q73" s="102"/>
      <c r="R73" s="10"/>
      <c r="S73" s="10"/>
    </row>
    <row r="74">
      <c r="A74" s="98"/>
      <c r="D74" s="95"/>
      <c r="L74" s="50"/>
      <c r="M74" s="10"/>
      <c r="N74" s="30" t="s">
        <v>78</v>
      </c>
      <c r="O74" s="31">
        <v>5596823.0</v>
      </c>
      <c r="P74" s="104">
        <v>400.0</v>
      </c>
      <c r="Q74" s="105"/>
      <c r="R74" s="10"/>
      <c r="S74" s="10"/>
    </row>
    <row r="75">
      <c r="A75" s="98"/>
      <c r="D75" s="95"/>
      <c r="L75" s="50"/>
      <c r="M75" s="10"/>
      <c r="N75" s="30" t="s">
        <v>78</v>
      </c>
      <c r="O75" s="31">
        <v>7136.0</v>
      </c>
      <c r="P75" s="104">
        <v>650.0</v>
      </c>
      <c r="Q75" s="105"/>
      <c r="R75" s="10"/>
      <c r="S75" s="10"/>
    </row>
    <row r="76">
      <c r="A76" s="98"/>
      <c r="D76" s="95"/>
      <c r="L76" s="50"/>
      <c r="M76" s="10"/>
      <c r="N76" s="30" t="s">
        <v>73</v>
      </c>
      <c r="O76" s="31">
        <v>7136.0</v>
      </c>
      <c r="P76" s="104">
        <v>50.0</v>
      </c>
      <c r="Q76" s="105"/>
      <c r="R76" s="10"/>
      <c r="S76" s="10"/>
    </row>
    <row r="77">
      <c r="A77" s="98"/>
      <c r="D77" s="95"/>
      <c r="L77" s="50"/>
      <c r="M77" s="10"/>
      <c r="N77" s="48" t="s">
        <v>177</v>
      </c>
      <c r="O77" s="106" t="s">
        <v>177</v>
      </c>
      <c r="P77" s="107">
        <v>663.4</v>
      </c>
      <c r="R77" s="10"/>
      <c r="S77" s="10"/>
    </row>
    <row r="78">
      <c r="A78" s="98"/>
      <c r="D78" s="95"/>
      <c r="L78" s="50"/>
      <c r="M78" s="10"/>
      <c r="N78" s="30" t="s">
        <v>40</v>
      </c>
      <c r="O78" s="31" t="s">
        <v>178</v>
      </c>
      <c r="P78" s="108"/>
      <c r="Q78" s="107">
        <v>2349.0</v>
      </c>
      <c r="R78" s="10"/>
      <c r="S78" s="10"/>
    </row>
    <row r="79">
      <c r="A79" s="98"/>
      <c r="D79" s="95"/>
      <c r="L79" s="50"/>
      <c r="M79" s="10"/>
      <c r="N79" s="30" t="s">
        <v>40</v>
      </c>
      <c r="O79" s="31" t="s">
        <v>179</v>
      </c>
      <c r="P79" s="60"/>
      <c r="Q79" s="104">
        <v>1914.0</v>
      </c>
      <c r="R79" s="10"/>
      <c r="S79" s="10"/>
    </row>
    <row r="80">
      <c r="A80" s="98"/>
      <c r="D80" s="95"/>
      <c r="L80" s="50"/>
      <c r="M80" s="10"/>
      <c r="N80" s="30" t="s">
        <v>180</v>
      </c>
      <c r="O80" s="31" t="s">
        <v>181</v>
      </c>
      <c r="P80" s="108">
        <v>2000.0</v>
      </c>
      <c r="Q80" s="105"/>
      <c r="R80" s="10"/>
      <c r="S80" s="10"/>
    </row>
    <row r="81">
      <c r="A81" s="98"/>
      <c r="D81" s="95"/>
      <c r="L81" s="50"/>
      <c r="M81" s="10"/>
      <c r="N81" s="30" t="s">
        <v>40</v>
      </c>
      <c r="O81" s="31" t="s">
        <v>182</v>
      </c>
      <c r="P81" s="60"/>
      <c r="Q81" s="104">
        <v>1036.0</v>
      </c>
      <c r="R81" s="10"/>
      <c r="S81" s="10"/>
    </row>
    <row r="82">
      <c r="A82" s="98"/>
      <c r="D82" s="95"/>
      <c r="L82" s="50"/>
      <c r="M82" s="10"/>
      <c r="N82" s="30" t="s">
        <v>40</v>
      </c>
      <c r="O82" s="31" t="s">
        <v>183</v>
      </c>
      <c r="P82" s="60"/>
      <c r="Q82" s="104">
        <v>3306.0</v>
      </c>
      <c r="R82" s="10"/>
      <c r="S82" s="10"/>
    </row>
    <row r="83">
      <c r="A83" s="98"/>
      <c r="D83" s="95"/>
      <c r="L83" s="50"/>
      <c r="M83" s="10"/>
      <c r="N83" s="30" t="s">
        <v>164</v>
      </c>
      <c r="O83" s="31" t="s">
        <v>163</v>
      </c>
      <c r="P83" s="51">
        <v>250.0</v>
      </c>
      <c r="Q83" s="105"/>
      <c r="R83" s="10"/>
      <c r="S83" s="10"/>
    </row>
    <row r="84">
      <c r="A84" s="98"/>
      <c r="D84" s="95"/>
      <c r="L84" s="50"/>
      <c r="M84" s="10"/>
      <c r="N84" s="30" t="s">
        <v>166</v>
      </c>
      <c r="O84" s="31" t="s">
        <v>163</v>
      </c>
      <c r="P84" s="51">
        <v>207.0</v>
      </c>
      <c r="Q84" s="105"/>
      <c r="R84" s="10"/>
      <c r="S84" s="10"/>
    </row>
    <row r="85">
      <c r="A85" s="98"/>
      <c r="D85" s="95"/>
      <c r="L85" s="50"/>
      <c r="M85" s="10"/>
      <c r="N85" s="30"/>
      <c r="O85" s="31"/>
      <c r="P85" s="108"/>
      <c r="Q85" s="105"/>
      <c r="R85" s="10"/>
      <c r="S85" s="10"/>
    </row>
    <row r="86">
      <c r="A86" s="98"/>
      <c r="D86" s="95"/>
      <c r="L86" s="50"/>
      <c r="M86" s="10"/>
      <c r="N86" s="30"/>
      <c r="O86" s="31"/>
      <c r="P86" s="51"/>
      <c r="Q86" s="105"/>
      <c r="R86" s="10"/>
      <c r="S86" s="10"/>
    </row>
    <row r="87">
      <c r="A87" s="98"/>
      <c r="D87" s="95"/>
      <c r="L87" s="50"/>
      <c r="M87" s="10"/>
      <c r="N87" s="60"/>
      <c r="O87" s="59"/>
      <c r="P87" s="60"/>
      <c r="Q87" s="105"/>
      <c r="R87" s="10"/>
      <c r="S87" s="10"/>
    </row>
    <row r="88">
      <c r="A88" s="98"/>
      <c r="D88" s="95"/>
      <c r="L88" s="50"/>
      <c r="M88" s="10"/>
      <c r="N88" s="60"/>
      <c r="O88" s="59"/>
      <c r="P88" s="60"/>
      <c r="Q88" s="105"/>
      <c r="R88" s="10"/>
      <c r="S88" s="10"/>
    </row>
    <row r="89">
      <c r="A89" s="98"/>
      <c r="D89" s="95"/>
      <c r="L89" s="50"/>
      <c r="M89" s="10"/>
      <c r="N89" s="60"/>
      <c r="O89" s="59"/>
      <c r="P89" s="60"/>
      <c r="Q89" s="105"/>
      <c r="R89" s="10"/>
      <c r="S89" s="10"/>
    </row>
    <row r="90">
      <c r="A90" s="98"/>
      <c r="D90" s="95"/>
      <c r="L90" s="50"/>
      <c r="M90" s="10"/>
      <c r="N90" s="60"/>
      <c r="O90" s="59"/>
      <c r="P90" s="60"/>
      <c r="Q90" s="105"/>
      <c r="R90" s="10"/>
      <c r="S90" s="10"/>
    </row>
    <row r="91">
      <c r="A91" s="98"/>
      <c r="D91" s="95"/>
      <c r="L91" s="50"/>
      <c r="M91" s="10"/>
      <c r="N91" s="60"/>
      <c r="O91" s="59"/>
      <c r="P91" s="60"/>
      <c r="Q91" s="105"/>
      <c r="R91" s="10"/>
      <c r="S91" s="10"/>
    </row>
    <row r="92">
      <c r="A92" s="98"/>
      <c r="D92" s="95"/>
      <c r="L92" s="50"/>
      <c r="M92" s="10"/>
      <c r="N92" s="60"/>
      <c r="O92" s="59"/>
      <c r="P92" s="60"/>
      <c r="Q92" s="105"/>
      <c r="R92" s="10"/>
      <c r="S92" s="10"/>
    </row>
    <row r="93">
      <c r="A93" s="98"/>
      <c r="D93" s="95"/>
      <c r="L93" s="50"/>
      <c r="M93" s="10"/>
      <c r="N93" s="60"/>
      <c r="O93" s="59"/>
      <c r="P93" s="60"/>
      <c r="Q93" s="105"/>
      <c r="R93" s="10"/>
      <c r="S93" s="10"/>
    </row>
    <row r="94">
      <c r="A94" s="98"/>
      <c r="D94" s="95"/>
      <c r="L94" s="50"/>
      <c r="M94" s="10"/>
      <c r="N94" s="60"/>
      <c r="O94" s="59"/>
      <c r="P94" s="60"/>
      <c r="Q94" s="105"/>
      <c r="R94" s="10"/>
      <c r="S94" s="10"/>
    </row>
    <row r="95">
      <c r="A95" s="98"/>
      <c r="D95" s="95"/>
      <c r="L95" s="50"/>
      <c r="M95" s="10"/>
      <c r="N95" s="60"/>
      <c r="O95" s="59"/>
      <c r="P95" s="60"/>
      <c r="Q95" s="105"/>
      <c r="R95" s="10"/>
      <c r="S95" s="10"/>
    </row>
    <row r="96">
      <c r="A96" s="98"/>
      <c r="D96" s="95"/>
      <c r="L96" s="50"/>
      <c r="M96" s="10"/>
      <c r="N96" s="60"/>
      <c r="O96" s="59"/>
      <c r="P96" s="60"/>
      <c r="Q96" s="105"/>
      <c r="R96" s="10"/>
      <c r="S96" s="10"/>
    </row>
    <row r="97">
      <c r="A97" s="98"/>
      <c r="D97" s="95"/>
      <c r="L97" s="50"/>
      <c r="M97" s="10"/>
      <c r="N97" s="60"/>
      <c r="O97" s="59"/>
      <c r="P97" s="60"/>
      <c r="Q97" s="105"/>
      <c r="R97" s="10"/>
      <c r="S97" s="10"/>
    </row>
    <row r="98">
      <c r="A98" s="98"/>
      <c r="D98" s="95"/>
      <c r="L98" s="50"/>
      <c r="M98" s="10"/>
      <c r="N98" s="60"/>
      <c r="O98" s="59"/>
      <c r="P98" s="60"/>
      <c r="Q98" s="105"/>
      <c r="R98" s="10"/>
      <c r="S98" s="10"/>
    </row>
    <row r="99">
      <c r="A99" s="98"/>
      <c r="D99" s="95"/>
      <c r="L99" s="50"/>
      <c r="M99" s="10"/>
      <c r="N99" s="60"/>
      <c r="O99" s="59"/>
      <c r="P99" s="60"/>
      <c r="Q99" s="105"/>
      <c r="R99" s="10"/>
      <c r="S99" s="10"/>
    </row>
    <row r="100">
      <c r="A100" s="98"/>
      <c r="D100" s="95"/>
      <c r="L100" s="50"/>
      <c r="M100" s="10"/>
      <c r="N100" s="60"/>
      <c r="O100" s="59"/>
      <c r="P100" s="60"/>
      <c r="Q100" s="105"/>
      <c r="R100" s="10"/>
      <c r="S100" s="10"/>
    </row>
    <row r="101">
      <c r="A101" s="98"/>
      <c r="D101" s="95"/>
      <c r="L101" s="50"/>
      <c r="M101" s="10"/>
      <c r="N101" s="60"/>
      <c r="O101" s="59"/>
      <c r="P101" s="60"/>
      <c r="Q101" s="105"/>
      <c r="R101" s="10"/>
      <c r="S101" s="10"/>
    </row>
    <row r="102">
      <c r="A102" s="98"/>
      <c r="D102" s="95"/>
      <c r="L102" s="50"/>
      <c r="M102" s="10"/>
      <c r="N102" s="60"/>
      <c r="O102" s="59"/>
      <c r="P102" s="60"/>
      <c r="Q102" s="105"/>
      <c r="R102" s="10"/>
      <c r="S102" s="10"/>
    </row>
    <row r="103">
      <c r="A103" s="98"/>
      <c r="D103" s="95"/>
      <c r="L103" s="50"/>
      <c r="M103" s="10"/>
      <c r="N103" s="60"/>
      <c r="O103" s="59"/>
      <c r="P103" s="60"/>
      <c r="Q103" s="105"/>
      <c r="R103" s="10"/>
      <c r="S103" s="10"/>
    </row>
    <row r="104">
      <c r="A104" s="98"/>
      <c r="D104" s="95"/>
      <c r="L104" s="50"/>
      <c r="M104" s="10"/>
      <c r="N104" s="60"/>
      <c r="O104" s="59"/>
      <c r="P104" s="60"/>
      <c r="Q104" s="105"/>
      <c r="R104" s="10"/>
      <c r="S104" s="10"/>
    </row>
    <row r="105">
      <c r="A105" s="98"/>
      <c r="D105" s="95"/>
      <c r="L105" s="50"/>
      <c r="M105" s="10"/>
      <c r="N105" s="60"/>
      <c r="O105" s="59"/>
      <c r="P105" s="60"/>
      <c r="Q105" s="105"/>
      <c r="R105" s="10"/>
      <c r="S105" s="10"/>
    </row>
    <row r="106">
      <c r="A106" s="98"/>
      <c r="D106" s="95"/>
      <c r="L106" s="50"/>
      <c r="M106" s="10"/>
      <c r="N106" s="60"/>
      <c r="O106" s="59"/>
      <c r="P106" s="60"/>
      <c r="Q106" s="105"/>
      <c r="R106" s="10"/>
      <c r="S106" s="10"/>
    </row>
    <row r="107">
      <c r="A107" s="98"/>
      <c r="D107" s="95"/>
      <c r="L107" s="50"/>
      <c r="M107" s="10"/>
      <c r="N107" s="60"/>
      <c r="O107" s="59"/>
      <c r="P107" s="60"/>
      <c r="Q107" s="105"/>
      <c r="R107" s="10"/>
      <c r="S107" s="10"/>
    </row>
    <row r="108">
      <c r="A108" s="98"/>
      <c r="D108" s="95"/>
      <c r="L108" s="50"/>
      <c r="M108" s="10"/>
      <c r="N108" s="60"/>
      <c r="O108" s="59"/>
      <c r="P108" s="60"/>
      <c r="Q108" s="105"/>
      <c r="R108" s="10"/>
      <c r="S108" s="10"/>
    </row>
    <row r="109">
      <c r="A109" s="98"/>
      <c r="D109" s="95"/>
      <c r="L109" s="50"/>
      <c r="M109" s="10"/>
      <c r="N109" s="60"/>
      <c r="O109" s="59"/>
      <c r="P109" s="60"/>
      <c r="Q109" s="105"/>
      <c r="R109" s="10"/>
      <c r="S109" s="10"/>
    </row>
    <row r="110">
      <c r="A110" s="98"/>
      <c r="D110" s="95"/>
      <c r="L110" s="50"/>
      <c r="M110" s="10"/>
      <c r="N110" s="60"/>
      <c r="O110" s="59"/>
      <c r="P110" s="60"/>
      <c r="Q110" s="105"/>
      <c r="R110" s="10"/>
      <c r="S110" s="10"/>
    </row>
    <row r="111">
      <c r="A111" s="98"/>
      <c r="D111" s="95"/>
      <c r="L111" s="50"/>
      <c r="M111" s="10"/>
      <c r="N111" s="60"/>
      <c r="O111" s="59"/>
      <c r="P111" s="60"/>
      <c r="Q111" s="105"/>
      <c r="R111" s="10"/>
      <c r="S111" s="10"/>
    </row>
    <row r="112">
      <c r="A112" s="98"/>
      <c r="D112" s="95"/>
      <c r="L112" s="50"/>
      <c r="M112" s="10"/>
      <c r="N112" s="60"/>
      <c r="O112" s="59"/>
      <c r="P112" s="60"/>
      <c r="Q112" s="105"/>
      <c r="R112" s="10"/>
      <c r="S112" s="10"/>
    </row>
    <row r="113">
      <c r="A113" s="98"/>
      <c r="D113" s="95"/>
      <c r="L113" s="50"/>
      <c r="M113" s="10"/>
      <c r="N113" s="60"/>
      <c r="O113" s="59"/>
      <c r="P113" s="60"/>
      <c r="Q113" s="105"/>
      <c r="R113" s="10"/>
      <c r="S113" s="10"/>
    </row>
    <row r="114">
      <c r="A114" s="98"/>
      <c r="D114" s="95"/>
      <c r="L114" s="50"/>
      <c r="M114" s="10"/>
      <c r="N114" s="60"/>
      <c r="O114" s="59"/>
      <c r="P114" s="60"/>
      <c r="Q114" s="105"/>
      <c r="R114" s="10"/>
      <c r="S114" s="10"/>
    </row>
    <row r="115">
      <c r="A115" s="98"/>
      <c r="D115" s="95"/>
      <c r="L115" s="50"/>
      <c r="M115" s="10"/>
      <c r="N115" s="60"/>
      <c r="O115" s="59"/>
      <c r="P115" s="60"/>
      <c r="Q115" s="105"/>
      <c r="R115" s="10"/>
      <c r="S115" s="10"/>
    </row>
    <row r="116">
      <c r="A116" s="98"/>
      <c r="D116" s="95"/>
      <c r="L116" s="50"/>
      <c r="M116" s="10"/>
      <c r="N116" s="60"/>
      <c r="O116" s="59"/>
      <c r="P116" s="60"/>
      <c r="Q116" s="105"/>
      <c r="R116" s="10"/>
      <c r="S116" s="10"/>
    </row>
    <row r="117">
      <c r="A117" s="98"/>
      <c r="D117" s="95"/>
      <c r="L117" s="50"/>
      <c r="M117" s="10"/>
      <c r="N117" s="60"/>
      <c r="O117" s="59"/>
      <c r="P117" s="60"/>
      <c r="Q117" s="105"/>
      <c r="R117" s="10"/>
      <c r="S117" s="10"/>
    </row>
    <row r="118">
      <c r="A118" s="98"/>
      <c r="D118" s="95"/>
      <c r="L118" s="50"/>
      <c r="M118" s="10"/>
      <c r="N118" s="60"/>
      <c r="O118" s="59"/>
      <c r="P118" s="60"/>
      <c r="Q118" s="105"/>
      <c r="R118" s="10"/>
      <c r="S118" s="10"/>
    </row>
    <row r="119">
      <c r="A119" s="98"/>
      <c r="D119" s="95"/>
      <c r="L119" s="50"/>
      <c r="M119" s="10"/>
      <c r="N119" s="60"/>
      <c r="O119" s="59"/>
      <c r="P119" s="60"/>
      <c r="Q119" s="105"/>
      <c r="R119" s="10"/>
      <c r="S119" s="10"/>
    </row>
    <row r="120">
      <c r="A120" s="98"/>
      <c r="D120" s="95"/>
      <c r="L120" s="50"/>
      <c r="M120" s="10"/>
      <c r="N120" s="60"/>
      <c r="O120" s="59"/>
      <c r="P120" s="60"/>
      <c r="Q120" s="105"/>
      <c r="R120" s="10"/>
      <c r="S120" s="10"/>
    </row>
    <row r="121">
      <c r="A121" s="98"/>
      <c r="D121" s="95"/>
      <c r="L121" s="50"/>
      <c r="M121" s="10"/>
      <c r="N121" s="60"/>
      <c r="O121" s="59"/>
      <c r="P121" s="60"/>
      <c r="Q121" s="105"/>
      <c r="R121" s="10"/>
      <c r="S121" s="10"/>
    </row>
    <row r="122">
      <c r="A122" s="98"/>
      <c r="D122" s="95"/>
      <c r="L122" s="50"/>
      <c r="M122" s="10"/>
      <c r="N122" s="60"/>
      <c r="O122" s="59"/>
      <c r="P122" s="60"/>
      <c r="Q122" s="105"/>
      <c r="R122" s="10"/>
      <c r="S122" s="10"/>
    </row>
    <row r="123">
      <c r="A123" s="98"/>
      <c r="D123" s="95"/>
      <c r="L123" s="50"/>
      <c r="M123" s="10"/>
      <c r="N123" s="60"/>
      <c r="O123" s="59"/>
      <c r="P123" s="60"/>
      <c r="Q123" s="105"/>
      <c r="R123" s="10"/>
      <c r="S123" s="10"/>
    </row>
    <row r="124">
      <c r="A124" s="98"/>
      <c r="D124" s="95"/>
      <c r="L124" s="50"/>
      <c r="M124" s="10"/>
      <c r="N124" s="60"/>
      <c r="O124" s="59"/>
      <c r="P124" s="60"/>
      <c r="Q124" s="105"/>
      <c r="R124" s="10"/>
      <c r="S124" s="10"/>
    </row>
    <row r="125">
      <c r="A125" s="98"/>
      <c r="D125" s="95"/>
      <c r="L125" s="50"/>
      <c r="M125" s="10"/>
      <c r="N125" s="60"/>
      <c r="O125" s="59"/>
      <c r="P125" s="60"/>
      <c r="Q125" s="105"/>
      <c r="R125" s="10"/>
      <c r="S125" s="10"/>
    </row>
    <row r="126">
      <c r="A126" s="98"/>
      <c r="D126" s="95"/>
      <c r="L126" s="50"/>
      <c r="M126" s="10"/>
      <c r="N126" s="60"/>
      <c r="O126" s="59"/>
      <c r="P126" s="60"/>
      <c r="Q126" s="105"/>
      <c r="R126" s="10"/>
      <c r="S126" s="10"/>
    </row>
    <row r="127">
      <c r="A127" s="98"/>
      <c r="D127" s="95"/>
      <c r="L127" s="50"/>
      <c r="M127" s="10"/>
      <c r="N127" s="60"/>
      <c r="O127" s="59"/>
      <c r="P127" s="60"/>
      <c r="Q127" s="105"/>
      <c r="R127" s="10"/>
      <c r="S127" s="10"/>
    </row>
    <row r="128">
      <c r="A128" s="98"/>
      <c r="D128" s="95"/>
      <c r="L128" s="50"/>
      <c r="M128" s="10"/>
      <c r="N128" s="10"/>
      <c r="O128" s="10"/>
      <c r="P128" s="10"/>
      <c r="Q128" s="10"/>
      <c r="R128" s="10"/>
      <c r="S128" s="10"/>
    </row>
    <row r="129">
      <c r="A129" s="98"/>
      <c r="D129" s="95"/>
      <c r="L129" s="50"/>
      <c r="O129" s="98"/>
      <c r="Q129" s="95"/>
    </row>
    <row r="130">
      <c r="A130" s="98"/>
      <c r="D130" s="95"/>
      <c r="L130" s="50"/>
      <c r="O130" s="98"/>
      <c r="Q130" s="95"/>
    </row>
    <row r="131">
      <c r="A131" s="98"/>
      <c r="D131" s="95"/>
      <c r="L131" s="50"/>
      <c r="O131" s="98"/>
      <c r="Q131" s="95"/>
    </row>
    <row r="132">
      <c r="A132" s="98"/>
      <c r="D132" s="95"/>
      <c r="L132" s="50"/>
      <c r="O132" s="98"/>
      <c r="Q132" s="95"/>
    </row>
    <row r="133">
      <c r="A133" s="98"/>
      <c r="D133" s="95"/>
      <c r="L133" s="50"/>
      <c r="O133" s="98"/>
      <c r="Q133" s="95"/>
    </row>
    <row r="134">
      <c r="A134" s="98"/>
      <c r="D134" s="95"/>
      <c r="L134" s="50"/>
      <c r="O134" s="98"/>
      <c r="Q134" s="95"/>
    </row>
    <row r="135">
      <c r="A135" s="98"/>
      <c r="D135" s="95"/>
      <c r="L135" s="50"/>
      <c r="O135" s="98"/>
      <c r="Q135" s="95"/>
    </row>
    <row r="136">
      <c r="A136" s="98"/>
      <c r="D136" s="95"/>
      <c r="L136" s="50"/>
      <c r="O136" s="98"/>
      <c r="Q136" s="95"/>
    </row>
    <row r="137">
      <c r="A137" s="98"/>
      <c r="D137" s="95"/>
      <c r="L137" s="50"/>
      <c r="O137" s="98"/>
      <c r="Q137" s="95"/>
    </row>
    <row r="138">
      <c r="A138" s="98"/>
      <c r="D138" s="95"/>
      <c r="L138" s="50"/>
      <c r="O138" s="98"/>
      <c r="Q138" s="95"/>
    </row>
    <row r="139">
      <c r="A139" s="98"/>
      <c r="D139" s="95"/>
      <c r="L139" s="50"/>
      <c r="O139" s="98"/>
      <c r="Q139" s="95"/>
    </row>
    <row r="140">
      <c r="A140" s="98"/>
      <c r="D140" s="95"/>
      <c r="L140" s="50"/>
      <c r="O140" s="98"/>
      <c r="Q140" s="95"/>
    </row>
    <row r="141">
      <c r="A141" s="98"/>
      <c r="D141" s="95"/>
      <c r="L141" s="50"/>
      <c r="O141" s="98"/>
      <c r="Q141" s="95"/>
    </row>
    <row r="142">
      <c r="A142" s="98"/>
      <c r="D142" s="95"/>
      <c r="L142" s="50"/>
      <c r="O142" s="98"/>
      <c r="Q142" s="95"/>
    </row>
    <row r="143">
      <c r="A143" s="98"/>
      <c r="D143" s="95"/>
      <c r="L143" s="50"/>
      <c r="O143" s="98"/>
      <c r="Q143" s="95"/>
    </row>
    <row r="144">
      <c r="A144" s="98"/>
      <c r="D144" s="95"/>
      <c r="L144" s="50"/>
      <c r="O144" s="98"/>
      <c r="Q144" s="95"/>
    </row>
    <row r="145">
      <c r="A145" s="98"/>
      <c r="D145" s="95"/>
      <c r="L145" s="50"/>
      <c r="O145" s="98"/>
      <c r="Q145" s="95"/>
    </row>
    <row r="146">
      <c r="A146" s="98"/>
      <c r="D146" s="95"/>
      <c r="L146" s="50"/>
      <c r="O146" s="98"/>
      <c r="Q146" s="95"/>
    </row>
    <row r="147">
      <c r="A147" s="98"/>
      <c r="D147" s="95"/>
      <c r="L147" s="50"/>
      <c r="O147" s="98"/>
      <c r="Q147" s="95"/>
    </row>
    <row r="148">
      <c r="A148" s="98"/>
      <c r="D148" s="95"/>
      <c r="L148" s="50"/>
      <c r="O148" s="98"/>
      <c r="Q148" s="95"/>
    </row>
    <row r="149">
      <c r="A149" s="98"/>
      <c r="D149" s="95"/>
      <c r="L149" s="50"/>
      <c r="O149" s="98"/>
      <c r="Q149" s="95"/>
    </row>
    <row r="150">
      <c r="A150" s="98"/>
      <c r="D150" s="95"/>
      <c r="L150" s="50"/>
      <c r="O150" s="98"/>
      <c r="Q150" s="95"/>
    </row>
    <row r="151">
      <c r="A151" s="98"/>
      <c r="D151" s="95"/>
      <c r="L151" s="50"/>
      <c r="O151" s="98"/>
      <c r="Q151" s="95"/>
    </row>
    <row r="152">
      <c r="A152" s="98"/>
      <c r="D152" s="95"/>
      <c r="L152" s="50"/>
      <c r="O152" s="98"/>
      <c r="Q152" s="95"/>
    </row>
    <row r="153">
      <c r="A153" s="98"/>
      <c r="D153" s="95"/>
      <c r="L153" s="50"/>
      <c r="O153" s="98"/>
      <c r="Q153" s="95"/>
    </row>
    <row r="154">
      <c r="A154" s="98"/>
      <c r="D154" s="95"/>
      <c r="L154" s="50"/>
      <c r="O154" s="98"/>
      <c r="Q154" s="95"/>
    </row>
    <row r="155">
      <c r="A155" s="98"/>
      <c r="D155" s="95"/>
      <c r="L155" s="50"/>
      <c r="O155" s="98"/>
      <c r="Q155" s="95"/>
    </row>
    <row r="156">
      <c r="A156" s="98"/>
      <c r="D156" s="95"/>
      <c r="L156" s="50"/>
      <c r="O156" s="98"/>
      <c r="Q156" s="95"/>
    </row>
    <row r="157">
      <c r="A157" s="98"/>
      <c r="D157" s="95"/>
      <c r="L157" s="50"/>
      <c r="O157" s="98"/>
      <c r="Q157" s="95"/>
    </row>
    <row r="158">
      <c r="A158" s="98"/>
      <c r="D158" s="95"/>
      <c r="L158" s="50"/>
      <c r="O158" s="98"/>
      <c r="Q158" s="95"/>
    </row>
    <row r="159">
      <c r="A159" s="98"/>
      <c r="D159" s="95"/>
      <c r="L159" s="50"/>
      <c r="O159" s="98"/>
      <c r="Q159" s="95"/>
    </row>
    <row r="160">
      <c r="A160" s="98"/>
      <c r="D160" s="95"/>
      <c r="L160" s="50"/>
      <c r="O160" s="98"/>
      <c r="Q160" s="95"/>
    </row>
    <row r="161">
      <c r="A161" s="98"/>
      <c r="D161" s="95"/>
      <c r="L161" s="50"/>
      <c r="O161" s="98"/>
      <c r="Q161" s="95"/>
    </row>
    <row r="162">
      <c r="A162" s="98"/>
      <c r="D162" s="95"/>
      <c r="L162" s="50"/>
      <c r="O162" s="98"/>
      <c r="Q162" s="95"/>
    </row>
    <row r="163">
      <c r="A163" s="98"/>
      <c r="D163" s="95"/>
      <c r="L163" s="50"/>
      <c r="O163" s="98"/>
      <c r="Q163" s="95"/>
    </row>
    <row r="164">
      <c r="A164" s="98"/>
      <c r="D164" s="95"/>
      <c r="L164" s="50"/>
      <c r="O164" s="98"/>
      <c r="Q164" s="95"/>
    </row>
    <row r="165">
      <c r="A165" s="98"/>
      <c r="D165" s="95"/>
      <c r="L165" s="50"/>
      <c r="O165" s="98"/>
      <c r="Q165" s="95"/>
    </row>
    <row r="166">
      <c r="A166" s="98"/>
      <c r="D166" s="95"/>
      <c r="L166" s="50"/>
      <c r="O166" s="98"/>
      <c r="Q166" s="95"/>
    </row>
    <row r="167">
      <c r="A167" s="98"/>
      <c r="D167" s="95"/>
      <c r="L167" s="50"/>
      <c r="O167" s="98"/>
      <c r="Q167" s="95"/>
    </row>
    <row r="168">
      <c r="A168" s="98"/>
      <c r="D168" s="95"/>
      <c r="L168" s="50"/>
      <c r="O168" s="98"/>
      <c r="Q168" s="95"/>
    </row>
    <row r="169">
      <c r="A169" s="98"/>
      <c r="D169" s="95"/>
      <c r="L169" s="50"/>
      <c r="O169" s="98"/>
      <c r="Q169" s="95"/>
    </row>
    <row r="170">
      <c r="A170" s="98"/>
      <c r="D170" s="95"/>
      <c r="L170" s="50"/>
      <c r="O170" s="98"/>
      <c r="Q170" s="95"/>
    </row>
    <row r="171">
      <c r="A171" s="98"/>
      <c r="D171" s="95"/>
      <c r="L171" s="50"/>
      <c r="O171" s="98"/>
      <c r="Q171" s="95"/>
    </row>
    <row r="172">
      <c r="A172" s="98"/>
      <c r="D172" s="95"/>
      <c r="L172" s="50"/>
      <c r="O172" s="98"/>
      <c r="Q172" s="95"/>
    </row>
    <row r="173">
      <c r="A173" s="98"/>
      <c r="D173" s="95"/>
      <c r="L173" s="50"/>
      <c r="O173" s="98"/>
      <c r="Q173" s="95"/>
    </row>
    <row r="174">
      <c r="A174" s="98"/>
      <c r="D174" s="95"/>
      <c r="L174" s="50"/>
      <c r="O174" s="98"/>
      <c r="Q174" s="95"/>
    </row>
    <row r="175">
      <c r="A175" s="98"/>
      <c r="D175" s="95"/>
      <c r="L175" s="50"/>
      <c r="O175" s="98"/>
      <c r="Q175" s="95"/>
    </row>
    <row r="176">
      <c r="A176" s="98"/>
      <c r="D176" s="95"/>
      <c r="L176" s="50"/>
      <c r="O176" s="98"/>
      <c r="Q176" s="95"/>
    </row>
    <row r="177">
      <c r="A177" s="98"/>
      <c r="D177" s="95"/>
      <c r="L177" s="50"/>
      <c r="O177" s="98"/>
      <c r="Q177" s="95"/>
    </row>
    <row r="178">
      <c r="A178" s="98"/>
      <c r="D178" s="95"/>
      <c r="L178" s="50"/>
      <c r="O178" s="98"/>
      <c r="Q178" s="95"/>
    </row>
    <row r="179">
      <c r="A179" s="98"/>
      <c r="D179" s="95"/>
      <c r="L179" s="50"/>
      <c r="O179" s="98"/>
      <c r="Q179" s="95"/>
    </row>
    <row r="180">
      <c r="A180" s="98"/>
      <c r="D180" s="95"/>
      <c r="L180" s="50"/>
      <c r="O180" s="98"/>
      <c r="Q180" s="95"/>
    </row>
    <row r="181">
      <c r="A181" s="98"/>
      <c r="D181" s="95"/>
      <c r="L181" s="50"/>
      <c r="O181" s="98"/>
      <c r="Q181" s="95"/>
    </row>
    <row r="182">
      <c r="A182" s="98"/>
      <c r="D182" s="95"/>
      <c r="L182" s="50"/>
      <c r="O182" s="98"/>
      <c r="Q182" s="95"/>
    </row>
    <row r="183">
      <c r="A183" s="98"/>
      <c r="D183" s="95"/>
      <c r="L183" s="50"/>
      <c r="O183" s="98"/>
      <c r="Q183" s="95"/>
    </row>
    <row r="184">
      <c r="A184" s="98"/>
      <c r="D184" s="95"/>
      <c r="L184" s="50"/>
      <c r="O184" s="98"/>
      <c r="Q184" s="95"/>
    </row>
    <row r="185">
      <c r="A185" s="98"/>
      <c r="D185" s="95"/>
      <c r="L185" s="50"/>
      <c r="O185" s="98"/>
      <c r="Q185" s="95"/>
    </row>
    <row r="186">
      <c r="A186" s="98"/>
      <c r="D186" s="95"/>
      <c r="L186" s="50"/>
      <c r="O186" s="98"/>
      <c r="Q186" s="95"/>
    </row>
    <row r="187">
      <c r="A187" s="98"/>
      <c r="D187" s="95"/>
      <c r="L187" s="50"/>
      <c r="O187" s="98"/>
      <c r="Q187" s="95"/>
    </row>
    <row r="188">
      <c r="A188" s="98"/>
      <c r="D188" s="95"/>
      <c r="L188" s="50"/>
      <c r="O188" s="98"/>
      <c r="Q188" s="95"/>
    </row>
    <row r="189">
      <c r="A189" s="98"/>
      <c r="D189" s="95"/>
      <c r="L189" s="50"/>
      <c r="O189" s="98"/>
      <c r="Q189" s="95"/>
    </row>
    <row r="190">
      <c r="A190" s="98"/>
      <c r="D190" s="95"/>
      <c r="L190" s="50"/>
      <c r="O190" s="98"/>
      <c r="Q190" s="95"/>
    </row>
    <row r="191">
      <c r="A191" s="98"/>
      <c r="D191" s="95"/>
      <c r="L191" s="50"/>
      <c r="O191" s="98"/>
      <c r="Q191" s="95"/>
    </row>
    <row r="192">
      <c r="A192" s="98"/>
      <c r="D192" s="95"/>
      <c r="L192" s="50"/>
      <c r="O192" s="98"/>
      <c r="Q192" s="95"/>
    </row>
    <row r="193">
      <c r="A193" s="98"/>
      <c r="D193" s="95"/>
      <c r="L193" s="50"/>
      <c r="O193" s="98"/>
      <c r="Q193" s="95"/>
    </row>
    <row r="194">
      <c r="A194" s="98"/>
      <c r="D194" s="95"/>
      <c r="L194" s="50"/>
      <c r="O194" s="98"/>
      <c r="Q194" s="95"/>
    </row>
    <row r="195">
      <c r="A195" s="98"/>
      <c r="D195" s="95"/>
      <c r="L195" s="50"/>
      <c r="O195" s="98"/>
      <c r="Q195" s="95"/>
    </row>
    <row r="196">
      <c r="A196" s="98"/>
      <c r="D196" s="95"/>
      <c r="L196" s="50"/>
      <c r="O196" s="98"/>
      <c r="Q196" s="95"/>
    </row>
    <row r="197">
      <c r="A197" s="98"/>
      <c r="D197" s="95"/>
      <c r="L197" s="50"/>
      <c r="O197" s="98"/>
      <c r="Q197" s="95"/>
    </row>
    <row r="198">
      <c r="A198" s="98"/>
      <c r="D198" s="95"/>
      <c r="L198" s="50"/>
      <c r="O198" s="98"/>
      <c r="Q198" s="95"/>
    </row>
    <row r="199">
      <c r="A199" s="98"/>
      <c r="D199" s="95"/>
      <c r="L199" s="50"/>
      <c r="O199" s="98"/>
      <c r="Q199" s="95"/>
    </row>
    <row r="200">
      <c r="A200" s="98"/>
      <c r="D200" s="95"/>
      <c r="L200" s="50"/>
      <c r="O200" s="98"/>
      <c r="Q200" s="95"/>
    </row>
    <row r="201">
      <c r="A201" s="98"/>
      <c r="D201" s="95"/>
      <c r="L201" s="50"/>
      <c r="O201" s="98"/>
      <c r="Q201" s="95"/>
    </row>
    <row r="202">
      <c r="A202" s="98"/>
      <c r="D202" s="95"/>
      <c r="L202" s="50"/>
      <c r="O202" s="98"/>
      <c r="Q202" s="95"/>
    </row>
    <row r="203">
      <c r="A203" s="98"/>
      <c r="D203" s="95"/>
      <c r="L203" s="50"/>
      <c r="O203" s="98"/>
      <c r="Q203" s="95"/>
    </row>
    <row r="204">
      <c r="A204" s="98"/>
      <c r="D204" s="95"/>
      <c r="L204" s="50"/>
      <c r="O204" s="98"/>
      <c r="Q204" s="95"/>
    </row>
    <row r="205">
      <c r="A205" s="98"/>
      <c r="D205" s="95"/>
      <c r="L205" s="50"/>
      <c r="O205" s="98"/>
      <c r="Q205" s="95"/>
    </row>
    <row r="206">
      <c r="A206" s="98"/>
      <c r="D206" s="95"/>
      <c r="L206" s="50"/>
      <c r="O206" s="98"/>
      <c r="Q206" s="95"/>
    </row>
    <row r="207">
      <c r="A207" s="98"/>
      <c r="D207" s="95"/>
      <c r="L207" s="50"/>
      <c r="O207" s="98"/>
      <c r="Q207" s="95"/>
    </row>
    <row r="208">
      <c r="A208" s="98"/>
      <c r="D208" s="95"/>
      <c r="L208" s="50"/>
      <c r="O208" s="98"/>
      <c r="Q208" s="95"/>
    </row>
    <row r="209">
      <c r="A209" s="98"/>
      <c r="D209" s="95"/>
      <c r="L209" s="50"/>
      <c r="O209" s="98"/>
      <c r="Q209" s="95"/>
    </row>
    <row r="210">
      <c r="A210" s="98"/>
      <c r="D210" s="95"/>
      <c r="L210" s="50"/>
      <c r="O210" s="98"/>
      <c r="Q210" s="95"/>
    </row>
    <row r="211">
      <c r="A211" s="98"/>
      <c r="D211" s="95"/>
      <c r="L211" s="50"/>
      <c r="O211" s="98"/>
      <c r="Q211" s="95"/>
    </row>
    <row r="212">
      <c r="A212" s="98"/>
      <c r="D212" s="95"/>
      <c r="L212" s="50"/>
      <c r="O212" s="98"/>
      <c r="Q212" s="95"/>
    </row>
    <row r="213">
      <c r="A213" s="98"/>
      <c r="D213" s="95"/>
      <c r="L213" s="50"/>
      <c r="O213" s="98"/>
      <c r="Q213" s="95"/>
    </row>
    <row r="214">
      <c r="A214" s="98"/>
      <c r="D214" s="95"/>
      <c r="L214" s="50"/>
      <c r="O214" s="98"/>
      <c r="Q214" s="95"/>
    </row>
    <row r="215">
      <c r="A215" s="98"/>
      <c r="D215" s="95"/>
      <c r="L215" s="50"/>
      <c r="O215" s="98"/>
      <c r="Q215" s="95"/>
    </row>
    <row r="216">
      <c r="A216" s="98"/>
      <c r="D216" s="95"/>
      <c r="L216" s="50"/>
      <c r="O216" s="98"/>
      <c r="Q216" s="95"/>
    </row>
    <row r="217">
      <c r="A217" s="98"/>
      <c r="D217" s="95"/>
      <c r="L217" s="50"/>
      <c r="O217" s="98"/>
      <c r="Q217" s="95"/>
    </row>
    <row r="218">
      <c r="A218" s="98"/>
      <c r="D218" s="95"/>
      <c r="L218" s="50"/>
      <c r="O218" s="98"/>
      <c r="Q218" s="95"/>
    </row>
    <row r="219">
      <c r="A219" s="98"/>
      <c r="D219" s="95"/>
      <c r="L219" s="50"/>
      <c r="O219" s="98"/>
      <c r="Q219" s="95"/>
    </row>
    <row r="220">
      <c r="A220" s="98"/>
      <c r="D220" s="95"/>
      <c r="L220" s="50"/>
      <c r="O220" s="98"/>
      <c r="Q220" s="95"/>
    </row>
    <row r="221">
      <c r="A221" s="98"/>
      <c r="D221" s="95"/>
      <c r="L221" s="50"/>
      <c r="O221" s="98"/>
      <c r="Q221" s="95"/>
    </row>
    <row r="222">
      <c r="A222" s="98"/>
      <c r="D222" s="95"/>
      <c r="L222" s="50"/>
      <c r="O222" s="98"/>
      <c r="Q222" s="95"/>
    </row>
    <row r="223">
      <c r="A223" s="98"/>
      <c r="D223" s="95"/>
      <c r="L223" s="50"/>
      <c r="O223" s="98"/>
      <c r="Q223" s="95"/>
    </row>
    <row r="224">
      <c r="A224" s="98"/>
      <c r="D224" s="95"/>
      <c r="L224" s="50"/>
      <c r="O224" s="98"/>
      <c r="Q224" s="95"/>
    </row>
    <row r="225">
      <c r="A225" s="98"/>
      <c r="D225" s="95"/>
      <c r="L225" s="50"/>
      <c r="O225" s="98"/>
      <c r="Q225" s="95"/>
    </row>
    <row r="226">
      <c r="A226" s="98"/>
      <c r="D226" s="95"/>
      <c r="L226" s="50"/>
      <c r="O226" s="98"/>
      <c r="Q226" s="95"/>
    </row>
    <row r="227">
      <c r="A227" s="98"/>
      <c r="D227" s="95"/>
      <c r="L227" s="50"/>
      <c r="O227" s="98"/>
      <c r="Q227" s="95"/>
    </row>
    <row r="228">
      <c r="A228" s="98"/>
      <c r="D228" s="95"/>
      <c r="L228" s="50"/>
      <c r="O228" s="98"/>
      <c r="Q228" s="95"/>
    </row>
    <row r="229">
      <c r="A229" s="98"/>
      <c r="D229" s="95"/>
      <c r="L229" s="50"/>
      <c r="O229" s="98"/>
      <c r="Q229" s="95"/>
    </row>
    <row r="230">
      <c r="A230" s="98"/>
      <c r="D230" s="95"/>
      <c r="L230" s="50"/>
      <c r="O230" s="98"/>
      <c r="Q230" s="95"/>
    </row>
    <row r="231">
      <c r="A231" s="98"/>
      <c r="D231" s="95"/>
      <c r="L231" s="50"/>
      <c r="O231" s="98"/>
      <c r="Q231" s="95"/>
    </row>
    <row r="232">
      <c r="A232" s="98"/>
      <c r="D232" s="95"/>
      <c r="L232" s="50"/>
      <c r="O232" s="98"/>
      <c r="Q232" s="95"/>
    </row>
    <row r="233">
      <c r="A233" s="98"/>
      <c r="D233" s="95"/>
      <c r="L233" s="50"/>
      <c r="O233" s="98"/>
      <c r="Q233" s="95"/>
    </row>
    <row r="234">
      <c r="A234" s="98"/>
      <c r="D234" s="95"/>
      <c r="L234" s="50"/>
      <c r="O234" s="98"/>
      <c r="Q234" s="95"/>
    </row>
    <row r="235">
      <c r="A235" s="98"/>
      <c r="D235" s="95"/>
      <c r="L235" s="50"/>
      <c r="O235" s="98"/>
      <c r="Q235" s="95"/>
    </row>
    <row r="236">
      <c r="A236" s="98"/>
      <c r="D236" s="95"/>
      <c r="L236" s="50"/>
      <c r="O236" s="98"/>
      <c r="Q236" s="95"/>
    </row>
    <row r="237">
      <c r="A237" s="98"/>
      <c r="D237" s="95"/>
      <c r="L237" s="50"/>
      <c r="O237" s="98"/>
      <c r="Q237" s="95"/>
    </row>
    <row r="238">
      <c r="A238" s="98"/>
      <c r="D238" s="95"/>
      <c r="L238" s="50"/>
      <c r="O238" s="98"/>
      <c r="Q238" s="95"/>
    </row>
    <row r="239">
      <c r="A239" s="98"/>
      <c r="D239" s="95"/>
      <c r="L239" s="50"/>
      <c r="O239" s="98"/>
      <c r="Q239" s="95"/>
    </row>
    <row r="240">
      <c r="A240" s="98"/>
      <c r="D240" s="95"/>
      <c r="L240" s="50"/>
      <c r="O240" s="98"/>
      <c r="Q240" s="95"/>
    </row>
    <row r="241">
      <c r="A241" s="98"/>
      <c r="D241" s="95"/>
      <c r="L241" s="50"/>
      <c r="O241" s="98"/>
      <c r="Q241" s="95"/>
    </row>
    <row r="242">
      <c r="A242" s="98"/>
      <c r="D242" s="95"/>
      <c r="L242" s="50"/>
      <c r="O242" s="98"/>
      <c r="Q242" s="95"/>
    </row>
    <row r="243">
      <c r="A243" s="98"/>
      <c r="D243" s="95"/>
      <c r="L243" s="50"/>
      <c r="O243" s="98"/>
      <c r="Q243" s="95"/>
    </row>
    <row r="244">
      <c r="A244" s="98"/>
      <c r="D244" s="95"/>
      <c r="L244" s="50"/>
      <c r="O244" s="98"/>
      <c r="Q244" s="95"/>
    </row>
    <row r="245">
      <c r="A245" s="98"/>
      <c r="D245" s="95"/>
      <c r="L245" s="50"/>
      <c r="O245" s="98"/>
      <c r="Q245" s="95"/>
    </row>
    <row r="246">
      <c r="A246" s="98"/>
      <c r="D246" s="95"/>
      <c r="L246" s="50"/>
      <c r="O246" s="98"/>
      <c r="Q246" s="95"/>
    </row>
    <row r="247">
      <c r="A247" s="98"/>
      <c r="D247" s="95"/>
      <c r="L247" s="50"/>
      <c r="O247" s="98"/>
      <c r="Q247" s="95"/>
    </row>
    <row r="248">
      <c r="A248" s="98"/>
      <c r="D248" s="95"/>
      <c r="L248" s="50"/>
      <c r="O248" s="98"/>
      <c r="Q248" s="95"/>
    </row>
    <row r="249">
      <c r="A249" s="98"/>
      <c r="D249" s="95"/>
      <c r="L249" s="50"/>
      <c r="O249" s="98"/>
      <c r="Q249" s="95"/>
    </row>
    <row r="250">
      <c r="A250" s="98"/>
      <c r="D250" s="95"/>
      <c r="L250" s="50"/>
      <c r="O250" s="98"/>
      <c r="Q250" s="95"/>
    </row>
    <row r="251">
      <c r="A251" s="98"/>
      <c r="D251" s="95"/>
      <c r="L251" s="50"/>
      <c r="O251" s="98"/>
      <c r="Q251" s="95"/>
    </row>
    <row r="252">
      <c r="A252" s="98"/>
      <c r="D252" s="95"/>
      <c r="L252" s="50"/>
      <c r="O252" s="98"/>
      <c r="Q252" s="95"/>
    </row>
    <row r="253">
      <c r="A253" s="98"/>
      <c r="D253" s="95"/>
      <c r="L253" s="50"/>
      <c r="O253" s="98"/>
      <c r="Q253" s="95"/>
    </row>
    <row r="254">
      <c r="A254" s="98"/>
      <c r="D254" s="95"/>
      <c r="L254" s="50"/>
      <c r="O254" s="98"/>
      <c r="Q254" s="95"/>
    </row>
    <row r="255">
      <c r="A255" s="98"/>
      <c r="D255" s="95"/>
      <c r="L255" s="50"/>
      <c r="O255" s="98"/>
      <c r="Q255" s="95"/>
    </row>
    <row r="256">
      <c r="A256" s="98"/>
      <c r="D256" s="95"/>
      <c r="L256" s="50"/>
      <c r="O256" s="98"/>
      <c r="Q256" s="95"/>
    </row>
    <row r="257">
      <c r="A257" s="98"/>
      <c r="D257" s="95"/>
      <c r="L257" s="50"/>
      <c r="O257" s="98"/>
      <c r="Q257" s="95"/>
    </row>
    <row r="258">
      <c r="A258" s="98"/>
      <c r="D258" s="95"/>
      <c r="L258" s="50"/>
      <c r="O258" s="98"/>
      <c r="Q258" s="95"/>
    </row>
    <row r="259">
      <c r="A259" s="98"/>
      <c r="D259" s="95"/>
      <c r="L259" s="50"/>
      <c r="O259" s="98"/>
      <c r="Q259" s="95"/>
    </row>
    <row r="260">
      <c r="A260" s="98"/>
      <c r="D260" s="95"/>
      <c r="L260" s="50"/>
      <c r="O260" s="98"/>
      <c r="Q260" s="95"/>
    </row>
    <row r="261">
      <c r="A261" s="98"/>
      <c r="D261" s="95"/>
      <c r="L261" s="50"/>
      <c r="O261" s="98"/>
      <c r="Q261" s="95"/>
    </row>
    <row r="262">
      <c r="A262" s="98"/>
      <c r="D262" s="95"/>
      <c r="L262" s="50"/>
      <c r="O262" s="98"/>
      <c r="Q262" s="95"/>
    </row>
    <row r="263">
      <c r="A263" s="98"/>
      <c r="D263" s="95"/>
      <c r="L263" s="50"/>
      <c r="O263" s="98"/>
      <c r="Q263" s="95"/>
    </row>
    <row r="264">
      <c r="A264" s="98"/>
      <c r="D264" s="95"/>
      <c r="L264" s="50"/>
      <c r="O264" s="98"/>
      <c r="Q264" s="95"/>
    </row>
    <row r="265">
      <c r="A265" s="98"/>
      <c r="D265" s="95"/>
      <c r="L265" s="50"/>
      <c r="O265" s="98"/>
      <c r="Q265" s="95"/>
    </row>
    <row r="266">
      <c r="A266" s="98"/>
      <c r="D266" s="95"/>
      <c r="L266" s="50"/>
      <c r="O266" s="98"/>
      <c r="Q266" s="95"/>
    </row>
    <row r="267">
      <c r="A267" s="98"/>
      <c r="D267" s="95"/>
      <c r="L267" s="50"/>
      <c r="O267" s="98"/>
      <c r="Q267" s="95"/>
    </row>
    <row r="268">
      <c r="A268" s="98"/>
      <c r="D268" s="95"/>
      <c r="L268" s="50"/>
      <c r="O268" s="98"/>
      <c r="Q268" s="95"/>
    </row>
    <row r="269">
      <c r="A269" s="98"/>
      <c r="D269" s="95"/>
      <c r="L269" s="50"/>
      <c r="O269" s="98"/>
      <c r="Q269" s="95"/>
    </row>
    <row r="270">
      <c r="A270" s="98"/>
      <c r="D270" s="95"/>
      <c r="L270" s="50"/>
      <c r="O270" s="98"/>
      <c r="Q270" s="95"/>
    </row>
    <row r="271">
      <c r="A271" s="98"/>
      <c r="D271" s="95"/>
      <c r="L271" s="50"/>
      <c r="O271" s="98"/>
      <c r="Q271" s="95"/>
    </row>
    <row r="272">
      <c r="A272" s="98"/>
      <c r="D272" s="95"/>
      <c r="L272" s="50"/>
      <c r="O272" s="98"/>
      <c r="Q272" s="95"/>
    </row>
    <row r="273">
      <c r="A273" s="98"/>
      <c r="D273" s="95"/>
      <c r="L273" s="50"/>
      <c r="O273" s="98"/>
      <c r="Q273" s="95"/>
    </row>
    <row r="274">
      <c r="A274" s="98"/>
      <c r="D274" s="95"/>
      <c r="L274" s="50"/>
      <c r="O274" s="98"/>
      <c r="Q274" s="95"/>
    </row>
    <row r="275">
      <c r="A275" s="98"/>
      <c r="D275" s="95"/>
      <c r="L275" s="50"/>
      <c r="O275" s="98"/>
      <c r="Q275" s="95"/>
    </row>
    <row r="276">
      <c r="A276" s="98"/>
      <c r="D276" s="95"/>
      <c r="L276" s="50"/>
      <c r="O276" s="98"/>
      <c r="Q276" s="95"/>
    </row>
    <row r="277">
      <c r="A277" s="98"/>
      <c r="D277" s="95"/>
      <c r="L277" s="50"/>
      <c r="O277" s="98"/>
      <c r="Q277" s="95"/>
    </row>
    <row r="278">
      <c r="A278" s="98"/>
      <c r="D278" s="95"/>
      <c r="L278" s="50"/>
      <c r="O278" s="98"/>
      <c r="Q278" s="95"/>
    </row>
    <row r="279">
      <c r="A279" s="98"/>
      <c r="D279" s="95"/>
      <c r="L279" s="50"/>
      <c r="O279" s="98"/>
      <c r="Q279" s="95"/>
    </row>
    <row r="280">
      <c r="A280" s="98"/>
      <c r="D280" s="95"/>
      <c r="L280" s="50"/>
      <c r="O280" s="98"/>
      <c r="Q280" s="95"/>
    </row>
    <row r="281">
      <c r="A281" s="98"/>
      <c r="D281" s="95"/>
      <c r="L281" s="50"/>
      <c r="O281" s="98"/>
      <c r="Q281" s="95"/>
    </row>
    <row r="282">
      <c r="A282" s="98"/>
      <c r="D282" s="95"/>
      <c r="L282" s="50"/>
      <c r="O282" s="98"/>
      <c r="Q282" s="95"/>
    </row>
    <row r="283">
      <c r="A283" s="98"/>
      <c r="D283" s="95"/>
      <c r="L283" s="50"/>
      <c r="O283" s="98"/>
      <c r="Q283" s="95"/>
    </row>
    <row r="284">
      <c r="A284" s="98"/>
      <c r="D284" s="95"/>
      <c r="L284" s="50"/>
      <c r="O284" s="98"/>
      <c r="Q284" s="95"/>
    </row>
    <row r="285">
      <c r="A285" s="98"/>
      <c r="D285" s="95"/>
      <c r="L285" s="50"/>
      <c r="O285" s="98"/>
      <c r="Q285" s="95"/>
    </row>
    <row r="286">
      <c r="A286" s="98"/>
      <c r="D286" s="95"/>
      <c r="L286" s="50"/>
      <c r="O286" s="98"/>
      <c r="Q286" s="95"/>
    </row>
    <row r="287">
      <c r="A287" s="98"/>
      <c r="D287" s="95"/>
      <c r="L287" s="50"/>
      <c r="O287" s="98"/>
      <c r="Q287" s="95"/>
    </row>
    <row r="288">
      <c r="A288" s="98"/>
      <c r="D288" s="95"/>
      <c r="L288" s="50"/>
      <c r="O288" s="98"/>
      <c r="Q288" s="95"/>
    </row>
    <row r="289">
      <c r="A289" s="98"/>
      <c r="D289" s="95"/>
      <c r="L289" s="50"/>
      <c r="O289" s="98"/>
      <c r="Q289" s="95"/>
    </row>
    <row r="290">
      <c r="A290" s="98"/>
      <c r="D290" s="95"/>
      <c r="L290" s="50"/>
      <c r="O290" s="98"/>
      <c r="Q290" s="95"/>
    </row>
    <row r="291">
      <c r="A291" s="98"/>
      <c r="D291" s="95"/>
      <c r="L291" s="50"/>
      <c r="O291" s="98"/>
      <c r="Q291" s="95"/>
    </row>
    <row r="292">
      <c r="A292" s="98"/>
      <c r="D292" s="95"/>
      <c r="L292" s="50"/>
      <c r="O292" s="98"/>
      <c r="Q292" s="95"/>
    </row>
    <row r="293">
      <c r="A293" s="98"/>
      <c r="D293" s="95"/>
      <c r="L293" s="50"/>
      <c r="O293" s="98"/>
      <c r="Q293" s="95"/>
    </row>
    <row r="294">
      <c r="A294" s="98"/>
      <c r="D294" s="95"/>
      <c r="L294" s="50"/>
      <c r="O294" s="98"/>
      <c r="Q294" s="95"/>
    </row>
    <row r="295">
      <c r="A295" s="98"/>
      <c r="D295" s="95"/>
      <c r="L295" s="50"/>
      <c r="O295" s="98"/>
      <c r="Q295" s="95"/>
    </row>
    <row r="296">
      <c r="A296" s="98"/>
      <c r="D296" s="95"/>
      <c r="L296" s="50"/>
      <c r="O296" s="98"/>
      <c r="Q296" s="95"/>
    </row>
    <row r="297">
      <c r="A297" s="98"/>
      <c r="D297" s="95"/>
      <c r="L297" s="50"/>
      <c r="O297" s="98"/>
      <c r="Q297" s="95"/>
    </row>
    <row r="298">
      <c r="A298" s="98"/>
      <c r="D298" s="95"/>
      <c r="L298" s="50"/>
      <c r="O298" s="98"/>
      <c r="Q298" s="95"/>
    </row>
    <row r="299">
      <c r="A299" s="98"/>
      <c r="D299" s="95"/>
      <c r="L299" s="50"/>
      <c r="O299" s="98"/>
      <c r="Q299" s="95"/>
    </row>
    <row r="300">
      <c r="A300" s="98"/>
      <c r="D300" s="95"/>
      <c r="L300" s="50"/>
      <c r="O300" s="98"/>
      <c r="Q300" s="95"/>
    </row>
    <row r="301">
      <c r="A301" s="98"/>
      <c r="D301" s="95"/>
      <c r="L301" s="50"/>
      <c r="O301" s="98"/>
      <c r="Q301" s="95"/>
    </row>
    <row r="302">
      <c r="A302" s="98"/>
      <c r="D302" s="95"/>
      <c r="L302" s="50"/>
      <c r="O302" s="98"/>
      <c r="Q302" s="95"/>
    </row>
    <row r="303">
      <c r="A303" s="98"/>
      <c r="D303" s="95"/>
      <c r="L303" s="50"/>
      <c r="O303" s="98"/>
      <c r="Q303" s="95"/>
    </row>
    <row r="304">
      <c r="A304" s="98"/>
      <c r="D304" s="95"/>
      <c r="L304" s="50"/>
      <c r="O304" s="98"/>
      <c r="Q304" s="95"/>
    </row>
    <row r="305">
      <c r="A305" s="98"/>
      <c r="D305" s="95"/>
      <c r="L305" s="50"/>
      <c r="O305" s="98"/>
      <c r="Q305" s="95"/>
    </row>
    <row r="306">
      <c r="A306" s="98"/>
      <c r="D306" s="95"/>
      <c r="L306" s="50"/>
      <c r="O306" s="98"/>
      <c r="Q306" s="95"/>
    </row>
    <row r="307">
      <c r="A307" s="98"/>
      <c r="D307" s="95"/>
      <c r="L307" s="50"/>
      <c r="O307" s="98"/>
      <c r="Q307" s="95"/>
    </row>
    <row r="308">
      <c r="A308" s="98"/>
      <c r="D308" s="95"/>
      <c r="L308" s="50"/>
      <c r="O308" s="98"/>
      <c r="Q308" s="95"/>
    </row>
    <row r="309">
      <c r="A309" s="98"/>
      <c r="D309" s="95"/>
      <c r="L309" s="50"/>
      <c r="O309" s="98"/>
      <c r="Q309" s="95"/>
    </row>
    <row r="310">
      <c r="A310" s="98"/>
      <c r="D310" s="95"/>
      <c r="L310" s="50"/>
      <c r="O310" s="98"/>
      <c r="Q310" s="95"/>
    </row>
    <row r="311">
      <c r="A311" s="98"/>
      <c r="D311" s="95"/>
      <c r="L311" s="50"/>
      <c r="O311" s="98"/>
      <c r="Q311" s="95"/>
    </row>
    <row r="312">
      <c r="A312" s="98"/>
      <c r="D312" s="95"/>
      <c r="L312" s="50"/>
      <c r="O312" s="98"/>
      <c r="Q312" s="95"/>
    </row>
    <row r="313">
      <c r="A313" s="98"/>
      <c r="D313" s="95"/>
      <c r="L313" s="50"/>
      <c r="O313" s="98"/>
      <c r="Q313" s="95"/>
    </row>
    <row r="314">
      <c r="A314" s="98"/>
      <c r="D314" s="95"/>
      <c r="L314" s="50"/>
      <c r="O314" s="98"/>
      <c r="Q314" s="95"/>
    </row>
    <row r="315">
      <c r="A315" s="98"/>
      <c r="D315" s="95"/>
      <c r="L315" s="50"/>
      <c r="O315" s="98"/>
      <c r="Q315" s="95"/>
    </row>
    <row r="316">
      <c r="A316" s="98"/>
      <c r="D316" s="95"/>
      <c r="L316" s="50"/>
      <c r="O316" s="98"/>
      <c r="Q316" s="95"/>
    </row>
    <row r="317">
      <c r="A317" s="98"/>
      <c r="D317" s="95"/>
      <c r="L317" s="50"/>
      <c r="O317" s="98"/>
      <c r="Q317" s="95"/>
    </row>
    <row r="318">
      <c r="A318" s="98"/>
      <c r="D318" s="95"/>
      <c r="L318" s="50"/>
      <c r="O318" s="98"/>
      <c r="Q318" s="95"/>
    </row>
    <row r="319">
      <c r="A319" s="98"/>
      <c r="D319" s="95"/>
      <c r="L319" s="50"/>
      <c r="O319" s="98"/>
      <c r="Q319" s="95"/>
    </row>
    <row r="320">
      <c r="A320" s="98"/>
      <c r="D320" s="95"/>
      <c r="L320" s="50"/>
      <c r="O320" s="98"/>
      <c r="Q320" s="95"/>
    </row>
    <row r="321">
      <c r="A321" s="98"/>
      <c r="D321" s="95"/>
      <c r="L321" s="50"/>
      <c r="O321" s="98"/>
      <c r="Q321" s="95"/>
    </row>
    <row r="322">
      <c r="A322" s="98"/>
      <c r="D322" s="95"/>
      <c r="L322" s="50"/>
      <c r="O322" s="98"/>
      <c r="Q322" s="95"/>
    </row>
    <row r="323">
      <c r="A323" s="98"/>
      <c r="D323" s="95"/>
      <c r="L323" s="50"/>
      <c r="O323" s="98"/>
      <c r="Q323" s="95"/>
    </row>
    <row r="324">
      <c r="A324" s="98"/>
      <c r="D324" s="95"/>
      <c r="L324" s="50"/>
      <c r="O324" s="98"/>
      <c r="Q324" s="95"/>
    </row>
    <row r="325">
      <c r="A325" s="98"/>
      <c r="D325" s="95"/>
      <c r="L325" s="50"/>
      <c r="O325" s="98"/>
      <c r="Q325" s="95"/>
    </row>
    <row r="326">
      <c r="A326" s="98"/>
      <c r="D326" s="95"/>
      <c r="L326" s="50"/>
      <c r="O326" s="98"/>
      <c r="Q326" s="95"/>
    </row>
    <row r="327">
      <c r="A327" s="98"/>
      <c r="D327" s="95"/>
      <c r="L327" s="50"/>
      <c r="O327" s="98"/>
      <c r="Q327" s="95"/>
    </row>
    <row r="328">
      <c r="A328" s="98"/>
      <c r="D328" s="95"/>
      <c r="L328" s="50"/>
      <c r="O328" s="98"/>
      <c r="Q328" s="95"/>
    </row>
    <row r="329">
      <c r="A329" s="98"/>
      <c r="D329" s="95"/>
      <c r="L329" s="50"/>
      <c r="O329" s="98"/>
      <c r="Q329" s="95"/>
    </row>
    <row r="330">
      <c r="A330" s="98"/>
      <c r="D330" s="95"/>
      <c r="L330" s="50"/>
      <c r="O330" s="98"/>
      <c r="Q330" s="95"/>
    </row>
    <row r="331">
      <c r="A331" s="98"/>
      <c r="D331" s="95"/>
      <c r="L331" s="50"/>
      <c r="O331" s="98"/>
      <c r="Q331" s="95"/>
    </row>
    <row r="332">
      <c r="A332" s="98"/>
      <c r="D332" s="95"/>
      <c r="L332" s="50"/>
      <c r="O332" s="98"/>
      <c r="Q332" s="95"/>
    </row>
    <row r="333">
      <c r="A333" s="98"/>
      <c r="D333" s="95"/>
      <c r="L333" s="50"/>
      <c r="O333" s="98"/>
      <c r="Q333" s="95"/>
    </row>
    <row r="334">
      <c r="A334" s="98"/>
      <c r="D334" s="95"/>
      <c r="L334" s="50"/>
      <c r="O334" s="98"/>
      <c r="Q334" s="95"/>
    </row>
    <row r="335">
      <c r="A335" s="98"/>
      <c r="D335" s="95"/>
      <c r="L335" s="50"/>
      <c r="O335" s="98"/>
      <c r="Q335" s="95"/>
    </row>
    <row r="336">
      <c r="A336" s="98"/>
      <c r="D336" s="95"/>
      <c r="L336" s="50"/>
      <c r="O336" s="98"/>
      <c r="Q336" s="95"/>
    </row>
    <row r="337">
      <c r="A337" s="98"/>
      <c r="D337" s="95"/>
      <c r="L337" s="50"/>
      <c r="O337" s="98"/>
      <c r="Q337" s="95"/>
    </row>
    <row r="338">
      <c r="A338" s="98"/>
      <c r="D338" s="95"/>
      <c r="L338" s="50"/>
      <c r="O338" s="98"/>
      <c r="Q338" s="95"/>
    </row>
    <row r="339">
      <c r="A339" s="98"/>
      <c r="D339" s="95"/>
      <c r="L339" s="50"/>
      <c r="O339" s="98"/>
      <c r="Q339" s="95"/>
    </row>
    <row r="340">
      <c r="A340" s="98"/>
      <c r="D340" s="95"/>
      <c r="L340" s="50"/>
      <c r="O340" s="98"/>
      <c r="Q340" s="95"/>
    </row>
    <row r="341">
      <c r="A341" s="98"/>
      <c r="D341" s="95"/>
      <c r="L341" s="50"/>
      <c r="O341" s="98"/>
      <c r="Q341" s="95"/>
    </row>
    <row r="342">
      <c r="A342" s="98"/>
      <c r="D342" s="95"/>
      <c r="L342" s="50"/>
      <c r="O342" s="98"/>
      <c r="Q342" s="95"/>
    </row>
    <row r="343">
      <c r="A343" s="98"/>
      <c r="D343" s="95"/>
      <c r="L343" s="50"/>
      <c r="O343" s="98"/>
      <c r="Q343" s="95"/>
    </row>
    <row r="344">
      <c r="A344" s="98"/>
      <c r="D344" s="95"/>
      <c r="L344" s="50"/>
      <c r="O344" s="98"/>
      <c r="Q344" s="95"/>
    </row>
    <row r="345">
      <c r="A345" s="98"/>
      <c r="D345" s="95"/>
      <c r="L345" s="50"/>
      <c r="O345" s="98"/>
      <c r="Q345" s="95"/>
    </row>
    <row r="346">
      <c r="A346" s="98"/>
      <c r="D346" s="95"/>
      <c r="L346" s="50"/>
      <c r="O346" s="98"/>
      <c r="Q346" s="95"/>
    </row>
    <row r="347">
      <c r="A347" s="98"/>
      <c r="D347" s="95"/>
      <c r="L347" s="50"/>
      <c r="O347" s="98"/>
      <c r="Q347" s="95"/>
    </row>
    <row r="348">
      <c r="A348" s="98"/>
      <c r="D348" s="95"/>
      <c r="L348" s="50"/>
      <c r="O348" s="98"/>
      <c r="Q348" s="95"/>
    </row>
    <row r="349">
      <c r="A349" s="98"/>
      <c r="D349" s="95"/>
      <c r="L349" s="50"/>
      <c r="O349" s="98"/>
      <c r="Q349" s="95"/>
    </row>
    <row r="350">
      <c r="A350" s="98"/>
      <c r="D350" s="95"/>
      <c r="L350" s="50"/>
      <c r="O350" s="98"/>
      <c r="Q350" s="95"/>
    </row>
    <row r="351">
      <c r="A351" s="98"/>
      <c r="D351" s="95"/>
      <c r="L351" s="50"/>
      <c r="O351" s="98"/>
      <c r="Q351" s="95"/>
    </row>
    <row r="352">
      <c r="A352" s="98"/>
      <c r="D352" s="95"/>
      <c r="L352" s="50"/>
      <c r="O352" s="98"/>
      <c r="Q352" s="95"/>
    </row>
    <row r="353">
      <c r="A353" s="98"/>
      <c r="D353" s="95"/>
      <c r="L353" s="50"/>
      <c r="O353" s="98"/>
      <c r="Q353" s="95"/>
    </row>
    <row r="354">
      <c r="A354" s="98"/>
      <c r="D354" s="95"/>
      <c r="L354" s="50"/>
      <c r="O354" s="98"/>
      <c r="Q354" s="95"/>
    </row>
    <row r="355">
      <c r="A355" s="98"/>
      <c r="D355" s="95"/>
      <c r="L355" s="50"/>
      <c r="O355" s="98"/>
      <c r="Q355" s="95"/>
    </row>
    <row r="356">
      <c r="A356" s="98"/>
      <c r="D356" s="95"/>
      <c r="L356" s="50"/>
      <c r="O356" s="98"/>
      <c r="Q356" s="95"/>
    </row>
    <row r="357">
      <c r="A357" s="98"/>
      <c r="D357" s="95"/>
      <c r="L357" s="50"/>
      <c r="O357" s="98"/>
      <c r="Q357" s="95"/>
    </row>
    <row r="358">
      <c r="A358" s="98"/>
      <c r="D358" s="95"/>
      <c r="L358" s="50"/>
      <c r="O358" s="98"/>
      <c r="Q358" s="95"/>
    </row>
    <row r="359">
      <c r="A359" s="98"/>
      <c r="D359" s="95"/>
      <c r="L359" s="50"/>
      <c r="O359" s="98"/>
      <c r="Q359" s="95"/>
    </row>
    <row r="360">
      <c r="A360" s="98"/>
      <c r="D360" s="95"/>
      <c r="L360" s="50"/>
      <c r="O360" s="98"/>
      <c r="Q360" s="95"/>
    </row>
    <row r="361">
      <c r="A361" s="98"/>
      <c r="D361" s="95"/>
      <c r="L361" s="50"/>
      <c r="O361" s="98"/>
      <c r="Q361" s="95"/>
    </row>
    <row r="362">
      <c r="A362" s="98"/>
      <c r="D362" s="95"/>
      <c r="L362" s="50"/>
      <c r="O362" s="98"/>
      <c r="Q362" s="95"/>
    </row>
    <row r="363">
      <c r="A363" s="98"/>
      <c r="D363" s="95"/>
      <c r="L363" s="50"/>
      <c r="O363" s="98"/>
      <c r="Q363" s="95"/>
    </row>
    <row r="364">
      <c r="A364" s="98"/>
      <c r="D364" s="95"/>
      <c r="L364" s="50"/>
      <c r="O364" s="98"/>
      <c r="Q364" s="95"/>
    </row>
    <row r="365">
      <c r="A365" s="98"/>
      <c r="D365" s="95"/>
      <c r="L365" s="50"/>
      <c r="O365" s="98"/>
      <c r="Q365" s="95"/>
    </row>
    <row r="366">
      <c r="A366" s="98"/>
      <c r="D366" s="95"/>
      <c r="L366" s="50"/>
      <c r="O366" s="98"/>
      <c r="Q366" s="95"/>
    </row>
    <row r="367">
      <c r="A367" s="98"/>
      <c r="D367" s="95"/>
      <c r="L367" s="50"/>
      <c r="O367" s="98"/>
      <c r="Q367" s="95"/>
    </row>
    <row r="368">
      <c r="A368" s="98"/>
      <c r="D368" s="95"/>
      <c r="L368" s="50"/>
      <c r="O368" s="98"/>
      <c r="Q368" s="95"/>
    </row>
    <row r="369">
      <c r="A369" s="98"/>
      <c r="D369" s="95"/>
      <c r="L369" s="50"/>
      <c r="O369" s="98"/>
      <c r="Q369" s="95"/>
    </row>
    <row r="370">
      <c r="A370" s="98"/>
      <c r="D370" s="95"/>
      <c r="L370" s="50"/>
      <c r="O370" s="98"/>
      <c r="Q370" s="95"/>
    </row>
    <row r="371">
      <c r="A371" s="98"/>
      <c r="D371" s="95"/>
      <c r="L371" s="50"/>
      <c r="O371" s="98"/>
      <c r="Q371" s="95"/>
    </row>
    <row r="372">
      <c r="A372" s="98"/>
      <c r="D372" s="95"/>
      <c r="L372" s="50"/>
      <c r="O372" s="98"/>
      <c r="Q372" s="95"/>
    </row>
    <row r="373">
      <c r="A373" s="98"/>
      <c r="D373" s="95"/>
      <c r="L373" s="50"/>
      <c r="O373" s="98"/>
      <c r="Q373" s="95"/>
    </row>
    <row r="374">
      <c r="A374" s="98"/>
      <c r="D374" s="95"/>
      <c r="L374" s="50"/>
      <c r="O374" s="98"/>
      <c r="Q374" s="95"/>
    </row>
    <row r="375">
      <c r="A375" s="98"/>
      <c r="D375" s="95"/>
      <c r="L375" s="50"/>
      <c r="O375" s="98"/>
      <c r="Q375" s="95"/>
    </row>
    <row r="376">
      <c r="A376" s="98"/>
      <c r="D376" s="95"/>
      <c r="L376" s="50"/>
      <c r="O376" s="98"/>
      <c r="Q376" s="95"/>
    </row>
    <row r="377">
      <c r="A377" s="98"/>
      <c r="D377" s="95"/>
      <c r="L377" s="50"/>
      <c r="O377" s="98"/>
      <c r="Q377" s="95"/>
    </row>
    <row r="378">
      <c r="A378" s="98"/>
      <c r="D378" s="95"/>
      <c r="L378" s="50"/>
      <c r="O378" s="98"/>
      <c r="Q378" s="95"/>
    </row>
    <row r="379">
      <c r="A379" s="98"/>
      <c r="D379" s="95"/>
      <c r="L379" s="50"/>
      <c r="O379" s="98"/>
      <c r="Q379" s="95"/>
    </row>
    <row r="380">
      <c r="A380" s="98"/>
      <c r="D380" s="95"/>
      <c r="L380" s="50"/>
      <c r="O380" s="98"/>
      <c r="Q380" s="95"/>
    </row>
    <row r="381">
      <c r="A381" s="98"/>
      <c r="D381" s="95"/>
      <c r="L381" s="50"/>
      <c r="O381" s="98"/>
      <c r="Q381" s="95"/>
    </row>
    <row r="382">
      <c r="A382" s="98"/>
      <c r="D382" s="95"/>
      <c r="L382" s="50"/>
      <c r="O382" s="98"/>
      <c r="Q382" s="95"/>
    </row>
    <row r="383">
      <c r="A383" s="98"/>
      <c r="D383" s="95"/>
      <c r="L383" s="50"/>
      <c r="O383" s="98"/>
      <c r="Q383" s="95"/>
    </row>
    <row r="384">
      <c r="A384" s="98"/>
      <c r="D384" s="95"/>
      <c r="L384" s="50"/>
      <c r="O384" s="98"/>
      <c r="Q384" s="95"/>
    </row>
    <row r="385">
      <c r="A385" s="98"/>
      <c r="D385" s="95"/>
      <c r="L385" s="50"/>
      <c r="O385" s="98"/>
      <c r="Q385" s="95"/>
    </row>
    <row r="386">
      <c r="A386" s="98"/>
      <c r="D386" s="95"/>
      <c r="L386" s="50"/>
      <c r="O386" s="98"/>
      <c r="Q386" s="95"/>
    </row>
    <row r="387">
      <c r="A387" s="98"/>
      <c r="D387" s="95"/>
      <c r="L387" s="50"/>
      <c r="O387" s="98"/>
      <c r="Q387" s="95"/>
    </row>
    <row r="388">
      <c r="A388" s="98"/>
      <c r="D388" s="95"/>
      <c r="L388" s="50"/>
      <c r="O388" s="98"/>
      <c r="Q388" s="95"/>
    </row>
    <row r="389">
      <c r="A389" s="98"/>
      <c r="D389" s="95"/>
      <c r="L389" s="50"/>
      <c r="O389" s="98"/>
      <c r="Q389" s="95"/>
    </row>
    <row r="390">
      <c r="A390" s="98"/>
      <c r="D390" s="95"/>
      <c r="L390" s="50"/>
      <c r="O390" s="98"/>
      <c r="Q390" s="95"/>
    </row>
    <row r="391">
      <c r="A391" s="98"/>
      <c r="D391" s="95"/>
      <c r="L391" s="50"/>
      <c r="O391" s="98"/>
      <c r="Q391" s="95"/>
    </row>
    <row r="392">
      <c r="A392" s="98"/>
      <c r="D392" s="95"/>
      <c r="L392" s="50"/>
      <c r="O392" s="98"/>
      <c r="Q392" s="95"/>
    </row>
    <row r="393">
      <c r="A393" s="98"/>
      <c r="D393" s="95"/>
      <c r="L393" s="50"/>
      <c r="O393" s="98"/>
      <c r="Q393" s="95"/>
    </row>
    <row r="394">
      <c r="A394" s="98"/>
      <c r="D394" s="95"/>
      <c r="L394" s="50"/>
      <c r="O394" s="98"/>
      <c r="Q394" s="95"/>
    </row>
    <row r="395">
      <c r="A395" s="98"/>
      <c r="D395" s="95"/>
      <c r="L395" s="50"/>
      <c r="O395" s="98"/>
      <c r="Q395" s="95"/>
    </row>
    <row r="396">
      <c r="A396" s="98"/>
      <c r="D396" s="95"/>
      <c r="L396" s="50"/>
      <c r="O396" s="98"/>
      <c r="Q396" s="95"/>
    </row>
    <row r="397">
      <c r="A397" s="98"/>
      <c r="D397" s="95"/>
      <c r="L397" s="50"/>
      <c r="O397" s="98"/>
      <c r="Q397" s="95"/>
    </row>
    <row r="398">
      <c r="A398" s="98"/>
      <c r="D398" s="95"/>
      <c r="L398" s="50"/>
      <c r="O398" s="98"/>
      <c r="Q398" s="95"/>
    </row>
    <row r="399">
      <c r="A399" s="98"/>
      <c r="D399" s="95"/>
      <c r="L399" s="50"/>
      <c r="O399" s="98"/>
      <c r="Q399" s="95"/>
    </row>
    <row r="400">
      <c r="A400" s="98"/>
      <c r="D400" s="95"/>
      <c r="L400" s="50"/>
      <c r="O400" s="98"/>
      <c r="Q400" s="95"/>
    </row>
    <row r="401">
      <c r="A401" s="98"/>
      <c r="D401" s="95"/>
      <c r="L401" s="50"/>
      <c r="O401" s="98"/>
      <c r="Q401" s="95"/>
    </row>
    <row r="402">
      <c r="A402" s="98"/>
      <c r="D402" s="95"/>
      <c r="L402" s="50"/>
      <c r="O402" s="98"/>
      <c r="Q402" s="95"/>
    </row>
    <row r="403">
      <c r="A403" s="98"/>
      <c r="D403" s="95"/>
      <c r="L403" s="50"/>
      <c r="O403" s="98"/>
      <c r="Q403" s="95"/>
    </row>
    <row r="404">
      <c r="A404" s="98"/>
      <c r="D404" s="95"/>
      <c r="L404" s="50"/>
      <c r="O404" s="98"/>
      <c r="Q404" s="95"/>
    </row>
    <row r="405">
      <c r="A405" s="98"/>
      <c r="D405" s="95"/>
      <c r="L405" s="50"/>
      <c r="O405" s="98"/>
      <c r="Q405" s="95"/>
    </row>
    <row r="406">
      <c r="A406" s="98"/>
      <c r="D406" s="95"/>
      <c r="L406" s="50"/>
      <c r="O406" s="98"/>
      <c r="Q406" s="95"/>
    </row>
    <row r="407">
      <c r="A407" s="98"/>
      <c r="D407" s="95"/>
      <c r="L407" s="50"/>
      <c r="O407" s="98"/>
      <c r="Q407" s="95"/>
    </row>
    <row r="408">
      <c r="A408" s="98"/>
      <c r="D408" s="95"/>
      <c r="L408" s="50"/>
      <c r="O408" s="98"/>
      <c r="Q408" s="95"/>
    </row>
    <row r="409">
      <c r="A409" s="98"/>
      <c r="D409" s="95"/>
      <c r="L409" s="50"/>
      <c r="O409" s="98"/>
      <c r="Q409" s="95"/>
    </row>
    <row r="410">
      <c r="A410" s="98"/>
      <c r="D410" s="95"/>
      <c r="L410" s="50"/>
      <c r="O410" s="98"/>
      <c r="Q410" s="95"/>
    </row>
    <row r="411">
      <c r="A411" s="98"/>
      <c r="D411" s="95"/>
      <c r="L411" s="50"/>
      <c r="O411" s="98"/>
      <c r="Q411" s="95"/>
    </row>
    <row r="412">
      <c r="A412" s="98"/>
      <c r="D412" s="95"/>
      <c r="L412" s="50"/>
      <c r="O412" s="98"/>
      <c r="Q412" s="95"/>
    </row>
    <row r="413">
      <c r="A413" s="98"/>
      <c r="D413" s="95"/>
      <c r="L413" s="50"/>
      <c r="O413" s="98"/>
      <c r="Q413" s="95"/>
    </row>
    <row r="414">
      <c r="A414" s="98"/>
      <c r="D414" s="95"/>
      <c r="L414" s="50"/>
      <c r="O414" s="98"/>
      <c r="Q414" s="95"/>
    </row>
    <row r="415">
      <c r="A415" s="98"/>
      <c r="D415" s="95"/>
      <c r="L415" s="50"/>
      <c r="O415" s="98"/>
      <c r="Q415" s="95"/>
    </row>
    <row r="416">
      <c r="A416" s="98"/>
      <c r="D416" s="95"/>
      <c r="L416" s="50"/>
      <c r="O416" s="98"/>
      <c r="Q416" s="95"/>
    </row>
    <row r="417">
      <c r="A417" s="98"/>
      <c r="D417" s="95"/>
      <c r="L417" s="50"/>
      <c r="O417" s="98"/>
      <c r="Q417" s="95"/>
    </row>
    <row r="418">
      <c r="A418" s="98"/>
      <c r="D418" s="95"/>
      <c r="L418" s="50"/>
      <c r="O418" s="98"/>
      <c r="Q418" s="95"/>
    </row>
    <row r="419">
      <c r="A419" s="98"/>
      <c r="D419" s="95"/>
      <c r="L419" s="50"/>
      <c r="O419" s="98"/>
      <c r="Q419" s="95"/>
    </row>
    <row r="420">
      <c r="A420" s="98"/>
      <c r="D420" s="95"/>
      <c r="L420" s="50"/>
      <c r="O420" s="98"/>
      <c r="Q420" s="95"/>
    </row>
    <row r="421">
      <c r="A421" s="98"/>
      <c r="D421" s="95"/>
      <c r="L421" s="50"/>
      <c r="O421" s="98"/>
      <c r="Q421" s="95"/>
    </row>
    <row r="422">
      <c r="A422" s="98"/>
      <c r="D422" s="95"/>
      <c r="L422" s="50"/>
      <c r="O422" s="98"/>
      <c r="Q422" s="95"/>
    </row>
    <row r="423">
      <c r="A423" s="98"/>
      <c r="D423" s="95"/>
      <c r="L423" s="50"/>
      <c r="O423" s="98"/>
      <c r="Q423" s="95"/>
    </row>
    <row r="424">
      <c r="A424" s="98"/>
      <c r="D424" s="95"/>
      <c r="L424" s="50"/>
      <c r="O424" s="98"/>
      <c r="Q424" s="95"/>
    </row>
    <row r="425">
      <c r="A425" s="98"/>
      <c r="D425" s="95"/>
      <c r="L425" s="50"/>
      <c r="O425" s="98"/>
      <c r="Q425" s="95"/>
    </row>
    <row r="426">
      <c r="A426" s="98"/>
      <c r="D426" s="95"/>
      <c r="L426" s="50"/>
      <c r="O426" s="98"/>
      <c r="Q426" s="95"/>
    </row>
    <row r="427">
      <c r="A427" s="98"/>
      <c r="D427" s="95"/>
      <c r="L427" s="50"/>
      <c r="O427" s="98"/>
      <c r="Q427" s="95"/>
    </row>
    <row r="428">
      <c r="A428" s="98"/>
      <c r="D428" s="95"/>
      <c r="L428" s="50"/>
      <c r="O428" s="98"/>
      <c r="Q428" s="95"/>
    </row>
    <row r="429">
      <c r="A429" s="98"/>
      <c r="D429" s="95"/>
      <c r="L429" s="50"/>
      <c r="O429" s="98"/>
      <c r="Q429" s="95"/>
    </row>
    <row r="430">
      <c r="A430" s="98"/>
      <c r="D430" s="95"/>
      <c r="L430" s="50"/>
      <c r="O430" s="98"/>
      <c r="Q430" s="95"/>
    </row>
    <row r="431">
      <c r="A431" s="98"/>
      <c r="D431" s="95"/>
      <c r="L431" s="50"/>
      <c r="O431" s="98"/>
      <c r="Q431" s="95"/>
    </row>
    <row r="432">
      <c r="A432" s="98"/>
      <c r="D432" s="95"/>
      <c r="L432" s="50"/>
      <c r="O432" s="98"/>
      <c r="Q432" s="95"/>
    </row>
    <row r="433">
      <c r="A433" s="98"/>
      <c r="D433" s="95"/>
      <c r="L433" s="50"/>
      <c r="O433" s="98"/>
      <c r="Q433" s="95"/>
    </row>
    <row r="434">
      <c r="A434" s="98"/>
      <c r="D434" s="95"/>
      <c r="L434" s="50"/>
      <c r="O434" s="98"/>
      <c r="Q434" s="95"/>
    </row>
    <row r="435">
      <c r="A435" s="98"/>
      <c r="D435" s="95"/>
      <c r="L435" s="50"/>
      <c r="O435" s="98"/>
      <c r="Q435" s="95"/>
    </row>
    <row r="436">
      <c r="A436" s="98"/>
      <c r="D436" s="95"/>
      <c r="L436" s="50"/>
      <c r="O436" s="98"/>
      <c r="Q436" s="95"/>
    </row>
    <row r="437">
      <c r="A437" s="98"/>
      <c r="D437" s="95"/>
      <c r="L437" s="50"/>
      <c r="O437" s="98"/>
      <c r="Q437" s="95"/>
    </row>
    <row r="438">
      <c r="A438" s="98"/>
      <c r="D438" s="95"/>
      <c r="L438" s="50"/>
      <c r="O438" s="98"/>
      <c r="Q438" s="95"/>
    </row>
    <row r="439">
      <c r="A439" s="98"/>
      <c r="D439" s="95"/>
      <c r="L439" s="50"/>
      <c r="O439" s="98"/>
      <c r="Q439" s="95"/>
    </row>
    <row r="440">
      <c r="A440" s="98"/>
      <c r="D440" s="95"/>
      <c r="L440" s="50"/>
      <c r="O440" s="98"/>
      <c r="Q440" s="95"/>
    </row>
    <row r="441">
      <c r="A441" s="98"/>
      <c r="D441" s="95"/>
      <c r="L441" s="50"/>
      <c r="O441" s="98"/>
      <c r="Q441" s="95"/>
    </row>
    <row r="442">
      <c r="A442" s="98"/>
      <c r="D442" s="95"/>
      <c r="L442" s="50"/>
      <c r="O442" s="98"/>
      <c r="Q442" s="95"/>
    </row>
    <row r="443">
      <c r="A443" s="98"/>
      <c r="D443" s="95"/>
      <c r="L443" s="50"/>
      <c r="O443" s="98"/>
      <c r="Q443" s="95"/>
    </row>
    <row r="444">
      <c r="A444" s="98"/>
      <c r="D444" s="95"/>
      <c r="L444" s="50"/>
      <c r="O444" s="98"/>
      <c r="Q444" s="95"/>
    </row>
    <row r="445">
      <c r="A445" s="98"/>
      <c r="D445" s="95"/>
      <c r="L445" s="50"/>
      <c r="O445" s="98"/>
      <c r="Q445" s="95"/>
    </row>
    <row r="446">
      <c r="A446" s="98"/>
      <c r="D446" s="95"/>
      <c r="L446" s="50"/>
      <c r="O446" s="98"/>
      <c r="Q446" s="95"/>
    </row>
    <row r="447">
      <c r="A447" s="98"/>
      <c r="D447" s="95"/>
      <c r="L447" s="50"/>
      <c r="O447" s="98"/>
      <c r="Q447" s="95"/>
    </row>
    <row r="448">
      <c r="A448" s="98"/>
      <c r="D448" s="95"/>
      <c r="L448" s="50"/>
      <c r="O448" s="98"/>
      <c r="Q448" s="95"/>
    </row>
    <row r="449">
      <c r="A449" s="98"/>
      <c r="D449" s="95"/>
      <c r="L449" s="50"/>
      <c r="O449" s="98"/>
      <c r="Q449" s="95"/>
    </row>
    <row r="450">
      <c r="A450" s="98"/>
      <c r="D450" s="95"/>
      <c r="L450" s="50"/>
      <c r="O450" s="98"/>
      <c r="Q450" s="95"/>
    </row>
    <row r="451">
      <c r="A451" s="98"/>
      <c r="D451" s="95"/>
      <c r="L451" s="50"/>
      <c r="O451" s="98"/>
      <c r="Q451" s="95"/>
    </row>
    <row r="452">
      <c r="A452" s="98"/>
      <c r="D452" s="95"/>
      <c r="L452" s="50"/>
      <c r="O452" s="98"/>
      <c r="Q452" s="95"/>
    </row>
    <row r="453">
      <c r="A453" s="98"/>
      <c r="D453" s="95"/>
      <c r="L453" s="50"/>
      <c r="O453" s="98"/>
      <c r="Q453" s="95"/>
    </row>
    <row r="454">
      <c r="A454" s="98"/>
      <c r="D454" s="95"/>
      <c r="L454" s="50"/>
      <c r="O454" s="98"/>
      <c r="Q454" s="95"/>
    </row>
    <row r="455">
      <c r="A455" s="98"/>
      <c r="D455" s="95"/>
      <c r="L455" s="50"/>
      <c r="O455" s="98"/>
      <c r="Q455" s="95"/>
    </row>
    <row r="456">
      <c r="A456" s="98"/>
      <c r="D456" s="95"/>
      <c r="L456" s="50"/>
      <c r="O456" s="98"/>
      <c r="Q456" s="95"/>
    </row>
    <row r="457">
      <c r="A457" s="98"/>
      <c r="D457" s="95"/>
      <c r="L457" s="50"/>
      <c r="O457" s="98"/>
      <c r="Q457" s="95"/>
    </row>
    <row r="458">
      <c r="A458" s="98"/>
      <c r="D458" s="95"/>
      <c r="L458" s="50"/>
      <c r="O458" s="98"/>
      <c r="Q458" s="95"/>
    </row>
    <row r="459">
      <c r="A459" s="98"/>
      <c r="D459" s="95"/>
      <c r="L459" s="50"/>
      <c r="O459" s="98"/>
      <c r="Q459" s="95"/>
    </row>
    <row r="460">
      <c r="A460" s="98"/>
      <c r="D460" s="95"/>
      <c r="L460" s="50"/>
      <c r="O460" s="98"/>
      <c r="Q460" s="95"/>
    </row>
    <row r="461">
      <c r="A461" s="98"/>
      <c r="D461" s="95"/>
      <c r="L461" s="50"/>
      <c r="O461" s="98"/>
      <c r="Q461" s="95"/>
    </row>
    <row r="462">
      <c r="A462" s="98"/>
      <c r="D462" s="95"/>
      <c r="L462" s="50"/>
      <c r="O462" s="98"/>
      <c r="Q462" s="95"/>
    </row>
    <row r="463">
      <c r="A463" s="98"/>
      <c r="D463" s="95"/>
      <c r="L463" s="50"/>
      <c r="O463" s="98"/>
      <c r="Q463" s="95"/>
    </row>
    <row r="464">
      <c r="A464" s="98"/>
      <c r="D464" s="95"/>
      <c r="L464" s="50"/>
      <c r="O464" s="98"/>
      <c r="Q464" s="95"/>
    </row>
    <row r="465">
      <c r="A465" s="98"/>
      <c r="D465" s="95"/>
      <c r="L465" s="50"/>
      <c r="O465" s="98"/>
      <c r="Q465" s="95"/>
    </row>
    <row r="466">
      <c r="A466" s="98"/>
      <c r="D466" s="95"/>
      <c r="L466" s="50"/>
      <c r="O466" s="98"/>
      <c r="Q466" s="95"/>
    </row>
    <row r="467">
      <c r="A467" s="98"/>
      <c r="D467" s="95"/>
      <c r="L467" s="50"/>
      <c r="O467" s="98"/>
      <c r="Q467" s="95"/>
    </row>
    <row r="468">
      <c r="A468" s="98"/>
      <c r="D468" s="95"/>
      <c r="L468" s="50"/>
      <c r="O468" s="98"/>
      <c r="Q468" s="95"/>
    </row>
    <row r="469">
      <c r="A469" s="98"/>
      <c r="D469" s="95"/>
      <c r="L469" s="50"/>
      <c r="O469" s="98"/>
      <c r="Q469" s="95"/>
    </row>
    <row r="470">
      <c r="A470" s="98"/>
      <c r="D470" s="95"/>
      <c r="L470" s="50"/>
      <c r="O470" s="98"/>
      <c r="Q470" s="95"/>
    </row>
    <row r="471">
      <c r="A471" s="98"/>
      <c r="D471" s="95"/>
      <c r="L471" s="50"/>
      <c r="O471" s="98"/>
      <c r="Q471" s="95"/>
    </row>
    <row r="472">
      <c r="A472" s="98"/>
      <c r="D472" s="95"/>
      <c r="L472" s="50"/>
      <c r="O472" s="98"/>
      <c r="Q472" s="95"/>
    </row>
    <row r="473">
      <c r="A473" s="98"/>
      <c r="D473" s="95"/>
      <c r="L473" s="50"/>
      <c r="O473" s="98"/>
      <c r="Q473" s="95"/>
    </row>
    <row r="474">
      <c r="A474" s="98"/>
      <c r="D474" s="95"/>
      <c r="L474" s="50"/>
      <c r="O474" s="98"/>
      <c r="Q474" s="95"/>
    </row>
    <row r="475">
      <c r="A475" s="98"/>
      <c r="D475" s="95"/>
      <c r="L475" s="50"/>
      <c r="O475" s="98"/>
      <c r="Q475" s="95"/>
    </row>
    <row r="476">
      <c r="A476" s="98"/>
      <c r="D476" s="95"/>
      <c r="L476" s="50"/>
      <c r="O476" s="98"/>
      <c r="Q476" s="95"/>
    </row>
    <row r="477">
      <c r="A477" s="98"/>
      <c r="D477" s="95"/>
      <c r="L477" s="50"/>
      <c r="O477" s="98"/>
      <c r="Q477" s="95"/>
    </row>
    <row r="478">
      <c r="A478" s="98"/>
      <c r="D478" s="95"/>
      <c r="L478" s="50"/>
      <c r="O478" s="98"/>
      <c r="Q478" s="95"/>
    </row>
    <row r="479">
      <c r="A479" s="98"/>
      <c r="D479" s="95"/>
      <c r="L479" s="50"/>
      <c r="O479" s="98"/>
      <c r="Q479" s="95"/>
    </row>
    <row r="480">
      <c r="A480" s="98"/>
      <c r="D480" s="95"/>
      <c r="L480" s="50"/>
      <c r="O480" s="98"/>
      <c r="Q480" s="95"/>
    </row>
    <row r="481">
      <c r="A481" s="98"/>
      <c r="D481" s="95"/>
      <c r="L481" s="50"/>
      <c r="O481" s="98"/>
      <c r="Q481" s="95"/>
    </row>
    <row r="482">
      <c r="A482" s="98"/>
      <c r="D482" s="95"/>
      <c r="L482" s="50"/>
      <c r="O482" s="98"/>
      <c r="Q482" s="95"/>
    </row>
    <row r="483">
      <c r="A483" s="98"/>
      <c r="D483" s="95"/>
      <c r="L483" s="50"/>
      <c r="O483" s="98"/>
      <c r="Q483" s="95"/>
    </row>
    <row r="484">
      <c r="A484" s="98"/>
      <c r="D484" s="95"/>
      <c r="L484" s="50"/>
      <c r="O484" s="98"/>
      <c r="Q484" s="95"/>
    </row>
    <row r="485">
      <c r="A485" s="98"/>
      <c r="D485" s="95"/>
      <c r="L485" s="50"/>
      <c r="O485" s="98"/>
      <c r="Q485" s="95"/>
    </row>
    <row r="486">
      <c r="A486" s="98"/>
      <c r="D486" s="95"/>
      <c r="L486" s="50"/>
      <c r="O486" s="98"/>
      <c r="Q486" s="95"/>
    </row>
    <row r="487">
      <c r="A487" s="98"/>
      <c r="D487" s="95"/>
      <c r="L487" s="50"/>
      <c r="O487" s="98"/>
      <c r="Q487" s="95"/>
    </row>
    <row r="488">
      <c r="A488" s="98"/>
      <c r="D488" s="95"/>
      <c r="L488" s="50"/>
      <c r="O488" s="98"/>
      <c r="Q488" s="95"/>
    </row>
    <row r="489">
      <c r="A489" s="98"/>
      <c r="D489" s="95"/>
      <c r="L489" s="50"/>
      <c r="O489" s="98"/>
      <c r="Q489" s="95"/>
    </row>
    <row r="490">
      <c r="A490" s="98"/>
      <c r="D490" s="95"/>
      <c r="L490" s="50"/>
      <c r="O490" s="98"/>
      <c r="Q490" s="95"/>
    </row>
    <row r="491">
      <c r="A491" s="98"/>
      <c r="D491" s="95"/>
      <c r="L491" s="50"/>
      <c r="O491" s="98"/>
      <c r="Q491" s="95"/>
    </row>
    <row r="492">
      <c r="A492" s="98"/>
      <c r="D492" s="95"/>
      <c r="L492" s="50"/>
      <c r="O492" s="98"/>
      <c r="Q492" s="95"/>
    </row>
    <row r="493">
      <c r="A493" s="98"/>
      <c r="D493" s="95"/>
      <c r="L493" s="50"/>
      <c r="O493" s="98"/>
      <c r="Q493" s="95"/>
    </row>
    <row r="494">
      <c r="A494" s="98"/>
      <c r="D494" s="95"/>
      <c r="L494" s="50"/>
      <c r="O494" s="98"/>
      <c r="Q494" s="95"/>
    </row>
    <row r="495">
      <c r="A495" s="98"/>
      <c r="D495" s="95"/>
      <c r="L495" s="50"/>
      <c r="O495" s="98"/>
      <c r="Q495" s="95"/>
    </row>
    <row r="496">
      <c r="A496" s="98"/>
      <c r="D496" s="95"/>
      <c r="L496" s="50"/>
      <c r="O496" s="98"/>
      <c r="Q496" s="95"/>
    </row>
    <row r="497">
      <c r="A497" s="98"/>
      <c r="D497" s="95"/>
      <c r="L497" s="50"/>
      <c r="O497" s="98"/>
      <c r="Q497" s="95"/>
    </row>
    <row r="498">
      <c r="A498" s="98"/>
      <c r="D498" s="95"/>
      <c r="L498" s="50"/>
      <c r="O498" s="98"/>
      <c r="Q498" s="95"/>
    </row>
    <row r="499">
      <c r="A499" s="98"/>
      <c r="D499" s="95"/>
      <c r="L499" s="50"/>
      <c r="O499" s="98"/>
      <c r="Q499" s="95"/>
    </row>
    <row r="500">
      <c r="A500" s="98"/>
      <c r="D500" s="95"/>
      <c r="L500" s="50"/>
      <c r="O500" s="98"/>
      <c r="Q500" s="95"/>
    </row>
    <row r="501">
      <c r="A501" s="98"/>
      <c r="D501" s="95"/>
      <c r="L501" s="50"/>
      <c r="O501" s="98"/>
      <c r="Q501" s="95"/>
    </row>
    <row r="502">
      <c r="A502" s="98"/>
      <c r="D502" s="95"/>
      <c r="L502" s="50"/>
      <c r="O502" s="98"/>
      <c r="Q502" s="95"/>
    </row>
    <row r="503">
      <c r="A503" s="98"/>
      <c r="D503" s="95"/>
      <c r="L503" s="50"/>
      <c r="O503" s="98"/>
      <c r="Q503" s="95"/>
    </row>
    <row r="504">
      <c r="A504" s="98"/>
      <c r="D504" s="95"/>
      <c r="L504" s="50"/>
      <c r="O504" s="98"/>
      <c r="Q504" s="95"/>
    </row>
    <row r="505">
      <c r="A505" s="98"/>
      <c r="D505" s="95"/>
      <c r="L505" s="50"/>
      <c r="O505" s="98"/>
      <c r="Q505" s="95"/>
    </row>
    <row r="506">
      <c r="A506" s="98"/>
      <c r="D506" s="95"/>
      <c r="L506" s="50"/>
      <c r="O506" s="98"/>
      <c r="Q506" s="95"/>
    </row>
    <row r="507">
      <c r="A507" s="98"/>
      <c r="D507" s="95"/>
      <c r="L507" s="50"/>
      <c r="O507" s="98"/>
      <c r="Q507" s="95"/>
    </row>
    <row r="508">
      <c r="A508" s="98"/>
      <c r="D508" s="95"/>
      <c r="L508" s="50"/>
      <c r="O508" s="98"/>
      <c r="Q508" s="95"/>
    </row>
    <row r="509">
      <c r="A509" s="98"/>
      <c r="D509" s="95"/>
      <c r="L509" s="50"/>
      <c r="O509" s="98"/>
      <c r="Q509" s="95"/>
    </row>
    <row r="510">
      <c r="A510" s="98"/>
      <c r="D510" s="95"/>
      <c r="L510" s="50"/>
      <c r="O510" s="98"/>
      <c r="Q510" s="95"/>
    </row>
    <row r="511">
      <c r="A511" s="98"/>
      <c r="D511" s="95"/>
      <c r="L511" s="50"/>
      <c r="O511" s="98"/>
      <c r="Q511" s="95"/>
    </row>
    <row r="512">
      <c r="A512" s="98"/>
      <c r="D512" s="95"/>
      <c r="L512" s="50"/>
      <c r="O512" s="98"/>
      <c r="Q512" s="95"/>
    </row>
    <row r="513">
      <c r="A513" s="98"/>
      <c r="D513" s="95"/>
      <c r="L513" s="50"/>
      <c r="O513" s="98"/>
      <c r="Q513" s="95"/>
    </row>
    <row r="514">
      <c r="A514" s="98"/>
      <c r="D514" s="95"/>
      <c r="L514" s="50"/>
      <c r="O514" s="98"/>
      <c r="Q514" s="95"/>
    </row>
    <row r="515">
      <c r="A515" s="98"/>
      <c r="D515" s="95"/>
      <c r="L515" s="50"/>
      <c r="O515" s="98"/>
      <c r="Q515" s="95"/>
    </row>
    <row r="516">
      <c r="A516" s="98"/>
      <c r="D516" s="95"/>
      <c r="L516" s="50"/>
      <c r="O516" s="98"/>
      <c r="Q516" s="95"/>
    </row>
    <row r="517">
      <c r="A517" s="98"/>
      <c r="D517" s="95"/>
      <c r="L517" s="50"/>
      <c r="O517" s="98"/>
      <c r="Q517" s="95"/>
    </row>
    <row r="518">
      <c r="A518" s="98"/>
      <c r="D518" s="95"/>
      <c r="L518" s="50"/>
      <c r="O518" s="98"/>
      <c r="Q518" s="95"/>
    </row>
    <row r="519">
      <c r="A519" s="98"/>
      <c r="D519" s="95"/>
      <c r="L519" s="50"/>
      <c r="O519" s="98"/>
      <c r="Q519" s="95"/>
    </row>
    <row r="520">
      <c r="A520" s="98"/>
      <c r="D520" s="95"/>
      <c r="L520" s="50"/>
      <c r="O520" s="98"/>
      <c r="Q520" s="95"/>
    </row>
    <row r="521">
      <c r="A521" s="98"/>
      <c r="D521" s="95"/>
      <c r="L521" s="50"/>
      <c r="O521" s="98"/>
      <c r="Q521" s="95"/>
    </row>
    <row r="522">
      <c r="A522" s="98"/>
      <c r="D522" s="95"/>
      <c r="L522" s="50"/>
      <c r="O522" s="98"/>
      <c r="Q522" s="95"/>
    </row>
    <row r="523">
      <c r="A523" s="98"/>
      <c r="D523" s="95"/>
      <c r="L523" s="50"/>
      <c r="O523" s="98"/>
      <c r="Q523" s="95"/>
    </row>
    <row r="524">
      <c r="A524" s="98"/>
      <c r="D524" s="95"/>
      <c r="L524" s="50"/>
      <c r="O524" s="98"/>
      <c r="Q524" s="95"/>
    </row>
    <row r="525">
      <c r="A525" s="98"/>
      <c r="D525" s="95"/>
      <c r="L525" s="50"/>
      <c r="O525" s="98"/>
      <c r="Q525" s="95"/>
    </row>
    <row r="526">
      <c r="A526" s="98"/>
      <c r="D526" s="95"/>
      <c r="L526" s="50"/>
      <c r="O526" s="98"/>
      <c r="Q526" s="95"/>
    </row>
    <row r="527">
      <c r="A527" s="98"/>
      <c r="D527" s="95"/>
      <c r="L527" s="50"/>
      <c r="O527" s="98"/>
      <c r="Q527" s="95"/>
    </row>
    <row r="528">
      <c r="A528" s="98"/>
      <c r="D528" s="95"/>
      <c r="L528" s="50"/>
      <c r="O528" s="98"/>
      <c r="Q528" s="95"/>
    </row>
    <row r="529">
      <c r="A529" s="98"/>
      <c r="D529" s="95"/>
      <c r="L529" s="50"/>
      <c r="O529" s="98"/>
      <c r="Q529" s="95"/>
    </row>
    <row r="530">
      <c r="A530" s="98"/>
      <c r="D530" s="95"/>
      <c r="L530" s="50"/>
      <c r="O530" s="98"/>
      <c r="Q530" s="95"/>
    </row>
    <row r="531">
      <c r="A531" s="98"/>
      <c r="D531" s="95"/>
      <c r="L531" s="50"/>
      <c r="O531" s="98"/>
      <c r="Q531" s="95"/>
    </row>
    <row r="532">
      <c r="A532" s="98"/>
      <c r="D532" s="95"/>
      <c r="L532" s="50"/>
      <c r="O532" s="98"/>
      <c r="Q532" s="95"/>
    </row>
    <row r="533">
      <c r="A533" s="98"/>
      <c r="D533" s="95"/>
      <c r="L533" s="50"/>
      <c r="O533" s="98"/>
      <c r="Q533" s="95"/>
    </row>
    <row r="534">
      <c r="A534" s="98"/>
      <c r="D534" s="95"/>
      <c r="L534" s="50"/>
      <c r="O534" s="98"/>
      <c r="Q534" s="95"/>
    </row>
    <row r="535">
      <c r="A535" s="98"/>
      <c r="D535" s="95"/>
      <c r="L535" s="50"/>
      <c r="O535" s="98"/>
      <c r="Q535" s="95"/>
    </row>
    <row r="536">
      <c r="A536" s="98"/>
      <c r="D536" s="95"/>
      <c r="L536" s="50"/>
      <c r="O536" s="98"/>
      <c r="Q536" s="95"/>
    </row>
    <row r="537">
      <c r="A537" s="98"/>
      <c r="D537" s="95"/>
      <c r="L537" s="50"/>
      <c r="O537" s="98"/>
      <c r="Q537" s="95"/>
    </row>
    <row r="538">
      <c r="A538" s="98"/>
      <c r="D538" s="95"/>
      <c r="L538" s="50"/>
      <c r="O538" s="98"/>
      <c r="Q538" s="95"/>
    </row>
    <row r="539">
      <c r="A539" s="98"/>
      <c r="D539" s="95"/>
      <c r="L539" s="50"/>
      <c r="O539" s="98"/>
      <c r="Q539" s="95"/>
    </row>
    <row r="540">
      <c r="A540" s="98"/>
      <c r="D540" s="95"/>
      <c r="L540" s="50"/>
      <c r="O540" s="98"/>
      <c r="Q540" s="95"/>
    </row>
    <row r="541">
      <c r="A541" s="98"/>
      <c r="D541" s="95"/>
      <c r="L541" s="50"/>
      <c r="O541" s="98"/>
      <c r="Q541" s="95"/>
    </row>
    <row r="542">
      <c r="A542" s="98"/>
      <c r="D542" s="95"/>
      <c r="L542" s="50"/>
      <c r="O542" s="98"/>
      <c r="Q542" s="95"/>
    </row>
    <row r="543">
      <c r="A543" s="98"/>
      <c r="D543" s="95"/>
      <c r="L543" s="50"/>
      <c r="O543" s="98"/>
      <c r="Q543" s="95"/>
    </row>
    <row r="544">
      <c r="A544" s="98"/>
      <c r="D544" s="95"/>
      <c r="L544" s="50"/>
      <c r="O544" s="98"/>
      <c r="Q544" s="95"/>
    </row>
    <row r="545">
      <c r="A545" s="98"/>
      <c r="D545" s="95"/>
      <c r="L545" s="50"/>
      <c r="O545" s="98"/>
      <c r="Q545" s="95"/>
    </row>
    <row r="546">
      <c r="A546" s="98"/>
      <c r="D546" s="95"/>
      <c r="L546" s="50"/>
      <c r="O546" s="98"/>
      <c r="Q546" s="95"/>
    </row>
    <row r="547">
      <c r="A547" s="98"/>
      <c r="D547" s="95"/>
      <c r="L547" s="50"/>
      <c r="O547" s="98"/>
      <c r="Q547" s="95"/>
    </row>
    <row r="548">
      <c r="A548" s="98"/>
      <c r="D548" s="95"/>
      <c r="L548" s="50"/>
      <c r="O548" s="98"/>
      <c r="Q548" s="95"/>
    </row>
    <row r="549">
      <c r="A549" s="98"/>
      <c r="D549" s="95"/>
      <c r="L549" s="50"/>
      <c r="O549" s="98"/>
      <c r="Q549" s="95"/>
    </row>
    <row r="550">
      <c r="A550" s="98"/>
      <c r="D550" s="95"/>
      <c r="L550" s="50"/>
      <c r="O550" s="98"/>
      <c r="Q550" s="95"/>
    </row>
    <row r="551">
      <c r="A551" s="98"/>
      <c r="D551" s="95"/>
      <c r="L551" s="50"/>
      <c r="O551" s="98"/>
      <c r="Q551" s="95"/>
    </row>
    <row r="552">
      <c r="A552" s="98"/>
      <c r="D552" s="95"/>
      <c r="L552" s="50"/>
      <c r="O552" s="98"/>
      <c r="Q552" s="95"/>
    </row>
    <row r="553">
      <c r="A553" s="98"/>
      <c r="D553" s="95"/>
      <c r="L553" s="50"/>
      <c r="O553" s="98"/>
      <c r="Q553" s="95"/>
    </row>
    <row r="554">
      <c r="A554" s="98"/>
      <c r="D554" s="95"/>
      <c r="L554" s="50"/>
      <c r="O554" s="98"/>
      <c r="Q554" s="95"/>
    </row>
    <row r="555">
      <c r="A555" s="98"/>
      <c r="D555" s="95"/>
      <c r="L555" s="50"/>
      <c r="O555" s="98"/>
      <c r="Q555" s="95"/>
    </row>
    <row r="556">
      <c r="A556" s="98"/>
      <c r="D556" s="95"/>
      <c r="L556" s="50"/>
      <c r="O556" s="98"/>
      <c r="Q556" s="95"/>
    </row>
    <row r="557">
      <c r="A557" s="98"/>
      <c r="D557" s="95"/>
      <c r="L557" s="50"/>
      <c r="O557" s="98"/>
      <c r="Q557" s="95"/>
    </row>
    <row r="558">
      <c r="A558" s="98"/>
      <c r="D558" s="95"/>
      <c r="L558" s="50"/>
      <c r="O558" s="98"/>
      <c r="Q558" s="95"/>
    </row>
    <row r="559">
      <c r="A559" s="98"/>
      <c r="D559" s="95"/>
      <c r="L559" s="50"/>
      <c r="O559" s="98"/>
      <c r="Q559" s="95"/>
    </row>
    <row r="560">
      <c r="A560" s="98"/>
      <c r="D560" s="95"/>
      <c r="L560" s="50"/>
      <c r="O560" s="98"/>
      <c r="Q560" s="95"/>
    </row>
    <row r="561">
      <c r="A561" s="98"/>
      <c r="D561" s="95"/>
      <c r="L561" s="50"/>
      <c r="O561" s="98"/>
      <c r="Q561" s="95"/>
    </row>
    <row r="562">
      <c r="A562" s="98"/>
      <c r="D562" s="95"/>
      <c r="L562" s="50"/>
      <c r="O562" s="98"/>
      <c r="Q562" s="95"/>
    </row>
    <row r="563">
      <c r="A563" s="98"/>
      <c r="D563" s="95"/>
      <c r="L563" s="50"/>
      <c r="O563" s="98"/>
      <c r="Q563" s="95"/>
    </row>
    <row r="564">
      <c r="A564" s="98"/>
      <c r="D564" s="95"/>
      <c r="L564" s="50"/>
      <c r="O564" s="98"/>
      <c r="Q564" s="95"/>
    </row>
    <row r="565">
      <c r="A565" s="98"/>
      <c r="D565" s="95"/>
      <c r="L565" s="50"/>
      <c r="O565" s="98"/>
      <c r="Q565" s="95"/>
    </row>
    <row r="566">
      <c r="A566" s="98"/>
      <c r="D566" s="95"/>
      <c r="L566" s="50"/>
      <c r="O566" s="98"/>
      <c r="Q566" s="95"/>
    </row>
    <row r="567">
      <c r="A567" s="98"/>
      <c r="D567" s="95"/>
      <c r="L567" s="50"/>
      <c r="O567" s="98"/>
      <c r="Q567" s="95"/>
    </row>
    <row r="568">
      <c r="A568" s="98"/>
      <c r="D568" s="95"/>
      <c r="L568" s="50"/>
      <c r="O568" s="98"/>
      <c r="Q568" s="95"/>
    </row>
    <row r="569">
      <c r="A569" s="98"/>
      <c r="D569" s="95"/>
      <c r="L569" s="50"/>
      <c r="O569" s="98"/>
      <c r="Q569" s="95"/>
    </row>
    <row r="570">
      <c r="A570" s="98"/>
      <c r="D570" s="95"/>
      <c r="L570" s="50"/>
      <c r="O570" s="98"/>
      <c r="Q570" s="95"/>
    </row>
    <row r="571">
      <c r="A571" s="98"/>
      <c r="D571" s="95"/>
      <c r="L571" s="50"/>
      <c r="O571" s="98"/>
      <c r="Q571" s="95"/>
    </row>
    <row r="572">
      <c r="A572" s="98"/>
      <c r="D572" s="95"/>
      <c r="L572" s="50"/>
      <c r="O572" s="98"/>
      <c r="Q572" s="95"/>
    </row>
    <row r="573">
      <c r="A573" s="98"/>
      <c r="D573" s="95"/>
      <c r="L573" s="50"/>
      <c r="O573" s="98"/>
      <c r="Q573" s="95"/>
    </row>
    <row r="574">
      <c r="A574" s="98"/>
      <c r="D574" s="95"/>
      <c r="L574" s="50"/>
      <c r="O574" s="98"/>
      <c r="Q574" s="95"/>
    </row>
    <row r="575">
      <c r="A575" s="98"/>
      <c r="D575" s="95"/>
      <c r="L575" s="50"/>
      <c r="O575" s="98"/>
      <c r="Q575" s="95"/>
    </row>
    <row r="576">
      <c r="A576" s="98"/>
      <c r="D576" s="95"/>
      <c r="L576" s="50"/>
      <c r="O576" s="98"/>
      <c r="Q576" s="95"/>
    </row>
    <row r="577">
      <c r="A577" s="98"/>
      <c r="D577" s="95"/>
      <c r="L577" s="50"/>
      <c r="O577" s="98"/>
      <c r="Q577" s="95"/>
    </row>
    <row r="578">
      <c r="A578" s="98"/>
      <c r="D578" s="95"/>
      <c r="L578" s="50"/>
      <c r="O578" s="98"/>
      <c r="Q578" s="95"/>
    </row>
    <row r="579">
      <c r="A579" s="98"/>
      <c r="D579" s="95"/>
      <c r="L579" s="50"/>
      <c r="O579" s="98"/>
      <c r="Q579" s="95"/>
    </row>
    <row r="580">
      <c r="A580" s="98"/>
      <c r="D580" s="95"/>
      <c r="L580" s="50"/>
      <c r="O580" s="98"/>
      <c r="Q580" s="95"/>
    </row>
    <row r="581">
      <c r="A581" s="98"/>
      <c r="D581" s="95"/>
      <c r="L581" s="50"/>
      <c r="O581" s="98"/>
      <c r="Q581" s="95"/>
    </row>
    <row r="582">
      <c r="A582" s="98"/>
      <c r="D582" s="95"/>
      <c r="L582" s="50"/>
      <c r="O582" s="98"/>
      <c r="Q582" s="95"/>
    </row>
    <row r="583">
      <c r="A583" s="98"/>
      <c r="D583" s="95"/>
      <c r="L583" s="50"/>
      <c r="O583" s="98"/>
      <c r="Q583" s="95"/>
    </row>
    <row r="584">
      <c r="A584" s="98"/>
      <c r="D584" s="95"/>
      <c r="L584" s="50"/>
      <c r="O584" s="98"/>
      <c r="Q584" s="95"/>
    </row>
    <row r="585">
      <c r="A585" s="98"/>
      <c r="D585" s="95"/>
      <c r="L585" s="50"/>
      <c r="O585" s="98"/>
      <c r="Q585" s="95"/>
    </row>
    <row r="586">
      <c r="A586" s="98"/>
      <c r="D586" s="95"/>
      <c r="L586" s="50"/>
      <c r="O586" s="98"/>
      <c r="Q586" s="95"/>
    </row>
    <row r="587">
      <c r="A587" s="98"/>
      <c r="D587" s="95"/>
      <c r="L587" s="50"/>
      <c r="O587" s="98"/>
      <c r="Q587" s="95"/>
    </row>
    <row r="588">
      <c r="A588" s="98"/>
      <c r="D588" s="95"/>
      <c r="L588" s="50"/>
      <c r="O588" s="98"/>
      <c r="Q588" s="95"/>
    </row>
    <row r="589">
      <c r="A589" s="98"/>
      <c r="D589" s="95"/>
      <c r="L589" s="50"/>
      <c r="O589" s="98"/>
      <c r="Q589" s="95"/>
    </row>
    <row r="590">
      <c r="A590" s="98"/>
      <c r="D590" s="95"/>
      <c r="L590" s="50"/>
      <c r="O590" s="98"/>
      <c r="Q590" s="95"/>
    </row>
    <row r="591">
      <c r="A591" s="98"/>
      <c r="D591" s="95"/>
      <c r="L591" s="50"/>
      <c r="O591" s="98"/>
      <c r="Q591" s="95"/>
    </row>
    <row r="592">
      <c r="A592" s="98"/>
      <c r="D592" s="95"/>
      <c r="L592" s="50"/>
      <c r="O592" s="98"/>
      <c r="Q592" s="95"/>
    </row>
    <row r="593">
      <c r="A593" s="98"/>
      <c r="D593" s="95"/>
      <c r="L593" s="50"/>
      <c r="O593" s="98"/>
      <c r="Q593" s="95"/>
    </row>
    <row r="594">
      <c r="A594" s="98"/>
      <c r="D594" s="95"/>
      <c r="L594" s="50"/>
      <c r="O594" s="98"/>
      <c r="Q594" s="95"/>
    </row>
    <row r="595">
      <c r="A595" s="98"/>
      <c r="D595" s="95"/>
      <c r="L595" s="50"/>
      <c r="O595" s="98"/>
      <c r="Q595" s="95"/>
    </row>
    <row r="596">
      <c r="A596" s="98"/>
      <c r="D596" s="95"/>
      <c r="L596" s="50"/>
      <c r="O596" s="98"/>
      <c r="Q596" s="95"/>
    </row>
    <row r="597">
      <c r="A597" s="98"/>
      <c r="D597" s="95"/>
      <c r="L597" s="50"/>
      <c r="O597" s="98"/>
      <c r="Q597" s="95"/>
    </row>
    <row r="598">
      <c r="A598" s="98"/>
      <c r="D598" s="95"/>
      <c r="L598" s="50"/>
      <c r="O598" s="98"/>
      <c r="Q598" s="95"/>
    </row>
    <row r="599">
      <c r="A599" s="98"/>
      <c r="D599" s="95"/>
      <c r="L599" s="50"/>
      <c r="O599" s="98"/>
      <c r="Q599" s="95"/>
    </row>
    <row r="600">
      <c r="A600" s="98"/>
      <c r="D600" s="95"/>
      <c r="L600" s="50"/>
      <c r="O600" s="98"/>
      <c r="Q600" s="95"/>
    </row>
    <row r="601">
      <c r="A601" s="98"/>
      <c r="D601" s="95"/>
      <c r="L601" s="50"/>
      <c r="O601" s="98"/>
      <c r="Q601" s="95"/>
    </row>
    <row r="602">
      <c r="A602" s="98"/>
      <c r="D602" s="95"/>
      <c r="L602" s="50"/>
      <c r="O602" s="98"/>
      <c r="Q602" s="95"/>
    </row>
    <row r="603">
      <c r="A603" s="98"/>
      <c r="D603" s="95"/>
      <c r="L603" s="50"/>
      <c r="O603" s="98"/>
      <c r="Q603" s="95"/>
    </row>
    <row r="604">
      <c r="A604" s="98"/>
      <c r="D604" s="95"/>
      <c r="L604" s="50"/>
      <c r="O604" s="98"/>
      <c r="Q604" s="95"/>
    </row>
    <row r="605">
      <c r="A605" s="98"/>
      <c r="D605" s="95"/>
      <c r="L605" s="50"/>
      <c r="O605" s="98"/>
      <c r="Q605" s="95"/>
    </row>
    <row r="606">
      <c r="A606" s="98"/>
      <c r="D606" s="95"/>
      <c r="L606" s="50"/>
      <c r="O606" s="98"/>
      <c r="Q606" s="95"/>
    </row>
    <row r="607">
      <c r="A607" s="98"/>
      <c r="D607" s="95"/>
      <c r="L607" s="50"/>
      <c r="O607" s="98"/>
      <c r="Q607" s="95"/>
    </row>
    <row r="608">
      <c r="A608" s="98"/>
      <c r="D608" s="95"/>
      <c r="L608" s="50"/>
      <c r="O608" s="98"/>
      <c r="Q608" s="95"/>
    </row>
    <row r="609">
      <c r="A609" s="98"/>
      <c r="D609" s="95"/>
      <c r="L609" s="50"/>
      <c r="O609" s="98"/>
      <c r="Q609" s="95"/>
    </row>
    <row r="610">
      <c r="A610" s="98"/>
      <c r="D610" s="95"/>
      <c r="L610" s="50"/>
      <c r="O610" s="98"/>
      <c r="Q610" s="95"/>
    </row>
    <row r="611">
      <c r="A611" s="98"/>
      <c r="D611" s="95"/>
      <c r="L611" s="50"/>
      <c r="O611" s="98"/>
      <c r="Q611" s="95"/>
    </row>
    <row r="612">
      <c r="A612" s="98"/>
      <c r="D612" s="95"/>
      <c r="L612" s="50"/>
      <c r="O612" s="98"/>
      <c r="Q612" s="95"/>
    </row>
    <row r="613">
      <c r="A613" s="98"/>
      <c r="D613" s="95"/>
      <c r="L613" s="50"/>
      <c r="O613" s="98"/>
      <c r="Q613" s="95"/>
    </row>
    <row r="614">
      <c r="A614" s="98"/>
      <c r="D614" s="95"/>
      <c r="L614" s="50"/>
      <c r="O614" s="98"/>
      <c r="Q614" s="95"/>
    </row>
    <row r="615">
      <c r="A615" s="98"/>
      <c r="D615" s="95"/>
      <c r="L615" s="50"/>
      <c r="O615" s="98"/>
      <c r="Q615" s="95"/>
    </row>
    <row r="616">
      <c r="A616" s="98"/>
      <c r="D616" s="95"/>
      <c r="L616" s="50"/>
      <c r="O616" s="98"/>
      <c r="Q616" s="95"/>
    </row>
    <row r="617">
      <c r="A617" s="98"/>
      <c r="D617" s="95"/>
      <c r="L617" s="50"/>
      <c r="O617" s="98"/>
      <c r="Q617" s="95"/>
    </row>
    <row r="618">
      <c r="A618" s="98"/>
      <c r="D618" s="95"/>
      <c r="L618" s="50"/>
      <c r="O618" s="98"/>
      <c r="Q618" s="95"/>
    </row>
    <row r="619">
      <c r="A619" s="98"/>
      <c r="D619" s="95"/>
      <c r="L619" s="50"/>
      <c r="O619" s="98"/>
      <c r="Q619" s="95"/>
    </row>
    <row r="620">
      <c r="A620" s="98"/>
      <c r="D620" s="95"/>
      <c r="L620" s="50"/>
      <c r="O620" s="98"/>
      <c r="Q620" s="95"/>
    </row>
    <row r="621">
      <c r="A621" s="98"/>
      <c r="D621" s="95"/>
      <c r="L621" s="50"/>
      <c r="O621" s="98"/>
      <c r="Q621" s="95"/>
    </row>
    <row r="622">
      <c r="A622" s="98"/>
      <c r="D622" s="95"/>
      <c r="L622" s="50"/>
      <c r="O622" s="98"/>
      <c r="Q622" s="95"/>
    </row>
    <row r="623">
      <c r="A623" s="98"/>
      <c r="D623" s="95"/>
      <c r="L623" s="50"/>
      <c r="O623" s="98"/>
      <c r="Q623" s="95"/>
    </row>
    <row r="624">
      <c r="A624" s="98"/>
      <c r="D624" s="95"/>
      <c r="L624" s="50"/>
      <c r="O624" s="98"/>
      <c r="Q624" s="95"/>
    </row>
    <row r="625">
      <c r="A625" s="98"/>
      <c r="D625" s="95"/>
      <c r="L625" s="50"/>
      <c r="O625" s="98"/>
      <c r="Q625" s="95"/>
    </row>
    <row r="626">
      <c r="A626" s="98"/>
      <c r="D626" s="95"/>
      <c r="L626" s="50"/>
      <c r="O626" s="98"/>
      <c r="Q626" s="95"/>
    </row>
    <row r="627">
      <c r="A627" s="98"/>
      <c r="D627" s="95"/>
      <c r="L627" s="50"/>
      <c r="O627" s="98"/>
      <c r="Q627" s="95"/>
    </row>
    <row r="628">
      <c r="A628" s="98"/>
      <c r="D628" s="95"/>
      <c r="L628" s="50"/>
      <c r="O628" s="98"/>
      <c r="Q628" s="95"/>
    </row>
    <row r="629">
      <c r="A629" s="98"/>
      <c r="D629" s="95"/>
      <c r="L629" s="50"/>
      <c r="O629" s="98"/>
      <c r="Q629" s="95"/>
    </row>
    <row r="630">
      <c r="A630" s="98"/>
      <c r="D630" s="95"/>
      <c r="L630" s="50"/>
      <c r="O630" s="98"/>
      <c r="Q630" s="95"/>
    </row>
    <row r="631">
      <c r="A631" s="98"/>
      <c r="D631" s="95"/>
      <c r="L631" s="50"/>
      <c r="O631" s="98"/>
      <c r="Q631" s="95"/>
    </row>
    <row r="632">
      <c r="A632" s="98"/>
      <c r="D632" s="95"/>
      <c r="L632" s="50"/>
      <c r="O632" s="98"/>
      <c r="Q632" s="95"/>
    </row>
    <row r="633">
      <c r="A633" s="98"/>
      <c r="D633" s="95"/>
      <c r="L633" s="50"/>
      <c r="O633" s="98"/>
      <c r="Q633" s="95"/>
    </row>
    <row r="634">
      <c r="A634" s="98"/>
      <c r="D634" s="95"/>
      <c r="L634" s="50"/>
      <c r="O634" s="98"/>
      <c r="Q634" s="95"/>
    </row>
    <row r="635">
      <c r="A635" s="98"/>
      <c r="D635" s="95"/>
      <c r="L635" s="50"/>
      <c r="O635" s="98"/>
      <c r="Q635" s="95"/>
    </row>
    <row r="636">
      <c r="A636" s="98"/>
      <c r="D636" s="95"/>
      <c r="L636" s="50"/>
      <c r="O636" s="98"/>
      <c r="Q636" s="95"/>
    </row>
    <row r="637">
      <c r="A637" s="98"/>
      <c r="D637" s="95"/>
      <c r="L637" s="50"/>
      <c r="O637" s="98"/>
      <c r="Q637" s="95"/>
    </row>
    <row r="638">
      <c r="A638" s="98"/>
      <c r="D638" s="95"/>
      <c r="L638" s="50"/>
      <c r="O638" s="98"/>
      <c r="Q638" s="95"/>
    </row>
    <row r="639">
      <c r="A639" s="98"/>
      <c r="D639" s="95"/>
      <c r="L639" s="50"/>
      <c r="O639" s="98"/>
      <c r="Q639" s="95"/>
    </row>
    <row r="640">
      <c r="A640" s="98"/>
      <c r="D640" s="95"/>
      <c r="L640" s="50"/>
      <c r="O640" s="98"/>
      <c r="Q640" s="95"/>
    </row>
    <row r="641">
      <c r="A641" s="98"/>
      <c r="D641" s="95"/>
      <c r="L641" s="50"/>
      <c r="O641" s="98"/>
      <c r="Q641" s="95"/>
    </row>
    <row r="642">
      <c r="A642" s="98"/>
      <c r="D642" s="95"/>
      <c r="L642" s="50"/>
      <c r="O642" s="98"/>
      <c r="Q642" s="95"/>
    </row>
    <row r="643">
      <c r="A643" s="98"/>
      <c r="D643" s="95"/>
      <c r="L643" s="50"/>
      <c r="O643" s="98"/>
      <c r="Q643" s="95"/>
    </row>
    <row r="644">
      <c r="A644" s="98"/>
      <c r="D644" s="95"/>
      <c r="L644" s="50"/>
      <c r="O644" s="98"/>
      <c r="Q644" s="95"/>
    </row>
    <row r="645">
      <c r="A645" s="98"/>
      <c r="D645" s="95"/>
      <c r="L645" s="50"/>
      <c r="O645" s="98"/>
      <c r="Q645" s="95"/>
    </row>
    <row r="646">
      <c r="A646" s="98"/>
      <c r="D646" s="95"/>
      <c r="L646" s="50"/>
      <c r="O646" s="98"/>
      <c r="Q646" s="95"/>
    </row>
    <row r="647">
      <c r="A647" s="98"/>
      <c r="D647" s="95"/>
      <c r="L647" s="50"/>
      <c r="O647" s="98"/>
      <c r="Q647" s="95"/>
    </row>
    <row r="648">
      <c r="A648" s="98"/>
      <c r="D648" s="95"/>
      <c r="L648" s="50"/>
      <c r="O648" s="98"/>
      <c r="Q648" s="95"/>
    </row>
    <row r="649">
      <c r="A649" s="98"/>
      <c r="D649" s="95"/>
      <c r="L649" s="50"/>
      <c r="O649" s="98"/>
      <c r="Q649" s="95"/>
    </row>
    <row r="650">
      <c r="A650" s="98"/>
      <c r="D650" s="95"/>
      <c r="L650" s="50"/>
      <c r="O650" s="98"/>
      <c r="Q650" s="95"/>
    </row>
    <row r="651">
      <c r="A651" s="98"/>
      <c r="D651" s="95"/>
      <c r="L651" s="50"/>
      <c r="O651" s="98"/>
      <c r="Q651" s="95"/>
    </row>
    <row r="652">
      <c r="A652" s="98"/>
      <c r="D652" s="95"/>
      <c r="L652" s="50"/>
      <c r="O652" s="98"/>
      <c r="Q652" s="95"/>
    </row>
    <row r="653">
      <c r="A653" s="98"/>
      <c r="D653" s="95"/>
      <c r="L653" s="50"/>
      <c r="O653" s="98"/>
      <c r="Q653" s="95"/>
    </row>
    <row r="654">
      <c r="A654" s="98"/>
      <c r="D654" s="95"/>
      <c r="L654" s="50"/>
      <c r="O654" s="98"/>
      <c r="Q654" s="95"/>
    </row>
    <row r="655">
      <c r="A655" s="98"/>
      <c r="D655" s="95"/>
      <c r="L655" s="50"/>
      <c r="O655" s="98"/>
      <c r="Q655" s="95"/>
    </row>
    <row r="656">
      <c r="A656" s="98"/>
      <c r="D656" s="95"/>
      <c r="L656" s="50"/>
      <c r="O656" s="98"/>
      <c r="Q656" s="95"/>
    </row>
    <row r="657">
      <c r="A657" s="98"/>
      <c r="D657" s="95"/>
      <c r="L657" s="50"/>
      <c r="O657" s="98"/>
      <c r="Q657" s="95"/>
    </row>
    <row r="658">
      <c r="A658" s="98"/>
      <c r="D658" s="95"/>
      <c r="L658" s="50"/>
      <c r="O658" s="98"/>
      <c r="Q658" s="95"/>
    </row>
    <row r="659">
      <c r="A659" s="98"/>
      <c r="D659" s="95"/>
      <c r="L659" s="50"/>
      <c r="O659" s="98"/>
      <c r="Q659" s="95"/>
    </row>
    <row r="660">
      <c r="A660" s="98"/>
      <c r="D660" s="95"/>
      <c r="L660" s="50"/>
      <c r="O660" s="98"/>
      <c r="Q660" s="95"/>
    </row>
    <row r="661">
      <c r="A661" s="98"/>
      <c r="D661" s="95"/>
      <c r="L661" s="50"/>
      <c r="O661" s="98"/>
      <c r="Q661" s="95"/>
    </row>
    <row r="662">
      <c r="A662" s="98"/>
      <c r="D662" s="95"/>
      <c r="L662" s="50"/>
      <c r="O662" s="98"/>
      <c r="Q662" s="95"/>
    </row>
    <row r="663">
      <c r="A663" s="98"/>
      <c r="D663" s="95"/>
      <c r="L663" s="50"/>
      <c r="O663" s="98"/>
      <c r="Q663" s="95"/>
    </row>
    <row r="664">
      <c r="A664" s="98"/>
      <c r="D664" s="95"/>
      <c r="L664" s="50"/>
      <c r="O664" s="98"/>
      <c r="Q664" s="95"/>
    </row>
    <row r="665">
      <c r="A665" s="98"/>
      <c r="D665" s="95"/>
      <c r="L665" s="50"/>
      <c r="O665" s="98"/>
      <c r="Q665" s="95"/>
    </row>
    <row r="666">
      <c r="A666" s="98"/>
      <c r="D666" s="95"/>
      <c r="L666" s="50"/>
      <c r="O666" s="98"/>
      <c r="Q666" s="95"/>
    </row>
    <row r="667">
      <c r="A667" s="98"/>
      <c r="D667" s="95"/>
      <c r="L667" s="50"/>
      <c r="O667" s="98"/>
      <c r="Q667" s="95"/>
    </row>
    <row r="668">
      <c r="A668" s="98"/>
      <c r="D668" s="95"/>
      <c r="L668" s="50"/>
      <c r="O668" s="98"/>
      <c r="Q668" s="95"/>
    </row>
    <row r="669">
      <c r="A669" s="98"/>
      <c r="D669" s="95"/>
      <c r="L669" s="50"/>
      <c r="O669" s="98"/>
      <c r="Q669" s="95"/>
    </row>
    <row r="670">
      <c r="A670" s="98"/>
      <c r="D670" s="95"/>
      <c r="L670" s="50"/>
      <c r="O670" s="98"/>
      <c r="Q670" s="95"/>
    </row>
    <row r="671">
      <c r="A671" s="98"/>
      <c r="D671" s="95"/>
      <c r="L671" s="50"/>
      <c r="O671" s="98"/>
      <c r="Q671" s="95"/>
    </row>
    <row r="672">
      <c r="A672" s="98"/>
      <c r="D672" s="95"/>
      <c r="L672" s="50"/>
      <c r="O672" s="98"/>
      <c r="Q672" s="95"/>
    </row>
    <row r="673">
      <c r="A673" s="98"/>
      <c r="D673" s="95"/>
      <c r="L673" s="50"/>
      <c r="O673" s="98"/>
      <c r="Q673" s="95"/>
    </row>
    <row r="674">
      <c r="A674" s="98"/>
      <c r="D674" s="95"/>
      <c r="L674" s="50"/>
      <c r="O674" s="98"/>
      <c r="Q674" s="95"/>
    </row>
    <row r="675">
      <c r="A675" s="98"/>
      <c r="D675" s="95"/>
      <c r="L675" s="50"/>
      <c r="O675" s="98"/>
      <c r="Q675" s="95"/>
    </row>
    <row r="676">
      <c r="A676" s="98"/>
      <c r="D676" s="95"/>
      <c r="L676" s="50"/>
      <c r="O676" s="98"/>
      <c r="Q676" s="95"/>
    </row>
    <row r="677">
      <c r="A677" s="98"/>
      <c r="D677" s="95"/>
      <c r="L677" s="50"/>
      <c r="O677" s="98"/>
      <c r="Q677" s="95"/>
    </row>
    <row r="678">
      <c r="A678" s="98"/>
      <c r="D678" s="95"/>
      <c r="L678" s="50"/>
      <c r="O678" s="98"/>
      <c r="Q678" s="95"/>
    </row>
    <row r="679">
      <c r="A679" s="98"/>
      <c r="D679" s="95"/>
      <c r="L679" s="50"/>
      <c r="O679" s="98"/>
      <c r="Q679" s="95"/>
    </row>
    <row r="680">
      <c r="A680" s="98"/>
      <c r="D680" s="95"/>
      <c r="L680" s="50"/>
      <c r="O680" s="98"/>
      <c r="Q680" s="95"/>
    </row>
    <row r="681">
      <c r="A681" s="98"/>
      <c r="D681" s="95"/>
      <c r="L681" s="50"/>
      <c r="O681" s="98"/>
      <c r="Q681" s="95"/>
    </row>
    <row r="682">
      <c r="A682" s="98"/>
      <c r="D682" s="95"/>
      <c r="L682" s="50"/>
      <c r="O682" s="98"/>
      <c r="Q682" s="95"/>
    </row>
    <row r="683">
      <c r="A683" s="98"/>
      <c r="D683" s="95"/>
      <c r="L683" s="50"/>
      <c r="O683" s="98"/>
      <c r="Q683" s="95"/>
    </row>
    <row r="684">
      <c r="A684" s="98"/>
      <c r="D684" s="95"/>
      <c r="L684" s="50"/>
      <c r="O684" s="98"/>
      <c r="Q684" s="95"/>
    </row>
    <row r="685">
      <c r="A685" s="98"/>
      <c r="D685" s="95"/>
      <c r="L685" s="50"/>
      <c r="O685" s="98"/>
      <c r="Q685" s="95"/>
    </row>
    <row r="686">
      <c r="A686" s="98"/>
      <c r="D686" s="95"/>
      <c r="L686" s="50"/>
      <c r="O686" s="98"/>
      <c r="Q686" s="95"/>
    </row>
    <row r="687">
      <c r="A687" s="98"/>
      <c r="D687" s="95"/>
      <c r="L687" s="50"/>
      <c r="O687" s="98"/>
      <c r="Q687" s="95"/>
    </row>
    <row r="688">
      <c r="A688" s="98"/>
      <c r="D688" s="95"/>
      <c r="L688" s="50"/>
      <c r="O688" s="98"/>
      <c r="Q688" s="95"/>
    </row>
    <row r="689">
      <c r="A689" s="98"/>
      <c r="D689" s="95"/>
      <c r="L689" s="50"/>
      <c r="O689" s="98"/>
      <c r="Q689" s="95"/>
    </row>
    <row r="690">
      <c r="A690" s="98"/>
      <c r="D690" s="95"/>
      <c r="L690" s="50"/>
      <c r="O690" s="98"/>
      <c r="Q690" s="95"/>
    </row>
    <row r="691">
      <c r="A691" s="98"/>
      <c r="D691" s="95"/>
      <c r="L691" s="50"/>
      <c r="O691" s="98"/>
      <c r="Q691" s="95"/>
    </row>
    <row r="692">
      <c r="A692" s="98"/>
      <c r="D692" s="95"/>
      <c r="L692" s="50"/>
      <c r="O692" s="98"/>
      <c r="Q692" s="95"/>
    </row>
    <row r="693">
      <c r="A693" s="98"/>
      <c r="D693" s="95"/>
      <c r="L693" s="50"/>
      <c r="O693" s="98"/>
      <c r="Q693" s="95"/>
    </row>
    <row r="694">
      <c r="A694" s="98"/>
      <c r="D694" s="95"/>
      <c r="L694" s="50"/>
      <c r="O694" s="98"/>
      <c r="Q694" s="95"/>
    </row>
    <row r="695">
      <c r="A695" s="98"/>
      <c r="D695" s="95"/>
      <c r="L695" s="50"/>
      <c r="O695" s="98"/>
      <c r="Q695" s="95"/>
    </row>
    <row r="696">
      <c r="A696" s="98"/>
      <c r="D696" s="95"/>
      <c r="L696" s="50"/>
      <c r="O696" s="98"/>
      <c r="Q696" s="95"/>
    </row>
    <row r="697">
      <c r="A697" s="98"/>
      <c r="D697" s="95"/>
      <c r="L697" s="50"/>
      <c r="O697" s="98"/>
      <c r="Q697" s="95"/>
    </row>
    <row r="698">
      <c r="A698" s="98"/>
      <c r="D698" s="95"/>
      <c r="L698" s="50"/>
      <c r="O698" s="98"/>
      <c r="Q698" s="95"/>
    </row>
    <row r="699">
      <c r="A699" s="98"/>
      <c r="D699" s="95"/>
      <c r="L699" s="50"/>
      <c r="O699" s="98"/>
      <c r="Q699" s="95"/>
    </row>
    <row r="700">
      <c r="A700" s="98"/>
      <c r="D700" s="95"/>
      <c r="L700" s="50"/>
      <c r="O700" s="98"/>
      <c r="Q700" s="95"/>
    </row>
    <row r="701">
      <c r="A701" s="98"/>
      <c r="D701" s="95"/>
      <c r="L701" s="50"/>
      <c r="O701" s="98"/>
      <c r="Q701" s="95"/>
    </row>
    <row r="702">
      <c r="A702" s="98"/>
      <c r="D702" s="95"/>
      <c r="L702" s="50"/>
      <c r="O702" s="98"/>
      <c r="Q702" s="95"/>
    </row>
    <row r="703">
      <c r="A703" s="98"/>
      <c r="D703" s="95"/>
      <c r="L703" s="50"/>
      <c r="O703" s="98"/>
      <c r="Q703" s="95"/>
    </row>
    <row r="704">
      <c r="A704" s="98"/>
      <c r="D704" s="95"/>
      <c r="L704" s="50"/>
      <c r="O704" s="98"/>
      <c r="Q704" s="95"/>
    </row>
    <row r="705">
      <c r="A705" s="98"/>
      <c r="D705" s="95"/>
      <c r="L705" s="50"/>
      <c r="O705" s="98"/>
      <c r="Q705" s="95"/>
    </row>
    <row r="706">
      <c r="A706" s="98"/>
      <c r="D706" s="95"/>
      <c r="L706" s="50"/>
      <c r="O706" s="98"/>
      <c r="Q706" s="95"/>
    </row>
    <row r="707">
      <c r="A707" s="98"/>
      <c r="D707" s="95"/>
      <c r="L707" s="50"/>
      <c r="O707" s="98"/>
      <c r="Q707" s="95"/>
    </row>
    <row r="708">
      <c r="A708" s="98"/>
      <c r="D708" s="95"/>
      <c r="L708" s="50"/>
      <c r="O708" s="98"/>
      <c r="Q708" s="95"/>
    </row>
    <row r="709">
      <c r="A709" s="98"/>
      <c r="D709" s="95"/>
      <c r="L709" s="50"/>
      <c r="O709" s="98"/>
      <c r="Q709" s="95"/>
    </row>
    <row r="710">
      <c r="A710" s="98"/>
      <c r="D710" s="95"/>
      <c r="L710" s="50"/>
      <c r="O710" s="98"/>
      <c r="Q710" s="95"/>
    </row>
    <row r="711">
      <c r="A711" s="98"/>
      <c r="D711" s="95"/>
      <c r="L711" s="50"/>
      <c r="O711" s="98"/>
      <c r="Q711" s="95"/>
    </row>
    <row r="712">
      <c r="A712" s="98"/>
      <c r="D712" s="95"/>
      <c r="L712" s="50"/>
      <c r="O712" s="98"/>
      <c r="Q712" s="95"/>
    </row>
    <row r="713">
      <c r="A713" s="98"/>
      <c r="D713" s="95"/>
      <c r="L713" s="50"/>
      <c r="O713" s="98"/>
      <c r="Q713" s="95"/>
    </row>
    <row r="714">
      <c r="A714" s="98"/>
      <c r="D714" s="95"/>
      <c r="L714" s="50"/>
      <c r="O714" s="98"/>
      <c r="Q714" s="95"/>
    </row>
    <row r="715">
      <c r="A715" s="98"/>
      <c r="D715" s="95"/>
      <c r="L715" s="50"/>
      <c r="O715" s="98"/>
      <c r="Q715" s="95"/>
    </row>
    <row r="716">
      <c r="A716" s="98"/>
      <c r="D716" s="95"/>
      <c r="L716" s="50"/>
      <c r="O716" s="98"/>
      <c r="Q716" s="95"/>
    </row>
    <row r="717">
      <c r="A717" s="98"/>
      <c r="D717" s="95"/>
      <c r="L717" s="50"/>
      <c r="O717" s="98"/>
      <c r="Q717" s="95"/>
    </row>
    <row r="718">
      <c r="A718" s="98"/>
      <c r="D718" s="95"/>
      <c r="L718" s="50"/>
      <c r="O718" s="98"/>
      <c r="Q718" s="95"/>
    </row>
    <row r="719">
      <c r="A719" s="98"/>
      <c r="D719" s="95"/>
      <c r="L719" s="50"/>
      <c r="O719" s="98"/>
      <c r="Q719" s="95"/>
    </row>
    <row r="720">
      <c r="A720" s="98"/>
      <c r="D720" s="95"/>
      <c r="L720" s="50"/>
      <c r="O720" s="98"/>
      <c r="Q720" s="95"/>
    </row>
    <row r="721">
      <c r="A721" s="98"/>
      <c r="D721" s="95"/>
      <c r="L721" s="50"/>
      <c r="O721" s="98"/>
      <c r="Q721" s="95"/>
    </row>
    <row r="722">
      <c r="A722" s="98"/>
      <c r="D722" s="95"/>
      <c r="L722" s="50"/>
      <c r="O722" s="98"/>
      <c r="Q722" s="95"/>
    </row>
    <row r="723">
      <c r="A723" s="98"/>
      <c r="D723" s="95"/>
      <c r="L723" s="50"/>
      <c r="O723" s="98"/>
      <c r="Q723" s="95"/>
    </row>
    <row r="724">
      <c r="A724" s="98"/>
      <c r="D724" s="95"/>
      <c r="L724" s="50"/>
      <c r="O724" s="98"/>
      <c r="Q724" s="95"/>
    </row>
    <row r="725">
      <c r="A725" s="98"/>
      <c r="D725" s="95"/>
      <c r="L725" s="50"/>
      <c r="O725" s="98"/>
      <c r="Q725" s="95"/>
    </row>
    <row r="726">
      <c r="A726" s="98"/>
      <c r="D726" s="95"/>
      <c r="L726" s="50"/>
      <c r="O726" s="98"/>
      <c r="Q726" s="95"/>
    </row>
    <row r="727">
      <c r="A727" s="98"/>
      <c r="D727" s="95"/>
      <c r="L727" s="50"/>
      <c r="O727" s="98"/>
      <c r="Q727" s="95"/>
    </row>
    <row r="728">
      <c r="A728" s="98"/>
      <c r="D728" s="95"/>
      <c r="L728" s="50"/>
      <c r="O728" s="98"/>
      <c r="Q728" s="95"/>
    </row>
    <row r="729">
      <c r="A729" s="98"/>
      <c r="D729" s="95"/>
      <c r="L729" s="50"/>
      <c r="O729" s="98"/>
      <c r="Q729" s="95"/>
    </row>
    <row r="730">
      <c r="A730" s="98"/>
      <c r="D730" s="95"/>
      <c r="L730" s="50"/>
      <c r="O730" s="98"/>
      <c r="Q730" s="95"/>
    </row>
    <row r="731">
      <c r="A731" s="98"/>
      <c r="D731" s="95"/>
      <c r="L731" s="50"/>
      <c r="O731" s="98"/>
      <c r="Q731" s="95"/>
    </row>
    <row r="732">
      <c r="A732" s="98"/>
      <c r="D732" s="95"/>
      <c r="L732" s="50"/>
      <c r="O732" s="98"/>
      <c r="Q732" s="95"/>
    </row>
    <row r="733">
      <c r="A733" s="98"/>
      <c r="D733" s="95"/>
      <c r="L733" s="50"/>
      <c r="O733" s="98"/>
      <c r="Q733" s="95"/>
    </row>
    <row r="734">
      <c r="A734" s="98"/>
      <c r="D734" s="95"/>
      <c r="L734" s="50"/>
      <c r="O734" s="98"/>
      <c r="Q734" s="95"/>
    </row>
    <row r="735">
      <c r="A735" s="98"/>
      <c r="D735" s="95"/>
      <c r="L735" s="50"/>
      <c r="O735" s="98"/>
      <c r="Q735" s="95"/>
    </row>
    <row r="736">
      <c r="A736" s="98"/>
      <c r="D736" s="95"/>
      <c r="L736" s="50"/>
      <c r="O736" s="98"/>
      <c r="Q736" s="95"/>
    </row>
    <row r="737">
      <c r="A737" s="98"/>
      <c r="D737" s="95"/>
      <c r="L737" s="50"/>
      <c r="O737" s="98"/>
      <c r="Q737" s="95"/>
    </row>
    <row r="738">
      <c r="A738" s="98"/>
      <c r="D738" s="95"/>
      <c r="L738" s="50"/>
      <c r="O738" s="98"/>
      <c r="Q738" s="95"/>
    </row>
    <row r="739">
      <c r="A739" s="98"/>
      <c r="D739" s="95"/>
      <c r="L739" s="50"/>
      <c r="O739" s="98"/>
      <c r="Q739" s="95"/>
    </row>
    <row r="740">
      <c r="A740" s="98"/>
      <c r="D740" s="95"/>
      <c r="L740" s="50"/>
      <c r="O740" s="98"/>
      <c r="Q740" s="95"/>
    </row>
    <row r="741">
      <c r="A741" s="98"/>
      <c r="D741" s="95"/>
      <c r="L741" s="50"/>
      <c r="O741" s="98"/>
      <c r="Q741" s="95"/>
    </row>
    <row r="742">
      <c r="A742" s="98"/>
      <c r="D742" s="95"/>
      <c r="L742" s="50"/>
      <c r="O742" s="98"/>
      <c r="Q742" s="95"/>
    </row>
    <row r="743">
      <c r="A743" s="98"/>
      <c r="D743" s="95"/>
      <c r="L743" s="50"/>
      <c r="O743" s="98"/>
      <c r="Q743" s="95"/>
    </row>
    <row r="744">
      <c r="A744" s="98"/>
      <c r="D744" s="95"/>
      <c r="L744" s="50"/>
      <c r="O744" s="98"/>
      <c r="Q744" s="95"/>
    </row>
    <row r="745">
      <c r="A745" s="98"/>
      <c r="D745" s="95"/>
      <c r="L745" s="50"/>
      <c r="O745" s="98"/>
      <c r="Q745" s="95"/>
    </row>
    <row r="746">
      <c r="A746" s="98"/>
      <c r="D746" s="95"/>
      <c r="L746" s="50"/>
      <c r="O746" s="98"/>
      <c r="Q746" s="95"/>
    </row>
    <row r="747">
      <c r="A747" s="98"/>
      <c r="D747" s="95"/>
      <c r="L747" s="50"/>
      <c r="O747" s="98"/>
      <c r="Q747" s="95"/>
    </row>
    <row r="748">
      <c r="A748" s="98"/>
      <c r="D748" s="95"/>
      <c r="L748" s="50"/>
      <c r="O748" s="98"/>
      <c r="Q748" s="95"/>
    </row>
    <row r="749">
      <c r="A749" s="98"/>
      <c r="D749" s="95"/>
      <c r="L749" s="50"/>
      <c r="O749" s="98"/>
      <c r="Q749" s="95"/>
    </row>
    <row r="750">
      <c r="A750" s="98"/>
      <c r="D750" s="95"/>
      <c r="L750" s="50"/>
      <c r="O750" s="98"/>
      <c r="Q750" s="95"/>
    </row>
    <row r="751">
      <c r="A751" s="98"/>
      <c r="D751" s="95"/>
      <c r="L751" s="50"/>
      <c r="O751" s="98"/>
      <c r="Q751" s="95"/>
    </row>
    <row r="752">
      <c r="A752" s="98"/>
      <c r="D752" s="95"/>
      <c r="L752" s="50"/>
      <c r="O752" s="98"/>
      <c r="Q752" s="95"/>
    </row>
    <row r="753">
      <c r="A753" s="98"/>
      <c r="D753" s="95"/>
      <c r="L753" s="50"/>
      <c r="O753" s="98"/>
      <c r="Q753" s="95"/>
    </row>
    <row r="754">
      <c r="A754" s="98"/>
      <c r="D754" s="95"/>
      <c r="L754" s="50"/>
      <c r="O754" s="98"/>
      <c r="Q754" s="95"/>
    </row>
    <row r="755">
      <c r="A755" s="98"/>
      <c r="D755" s="95"/>
      <c r="L755" s="50"/>
      <c r="O755" s="98"/>
      <c r="Q755" s="95"/>
    </row>
    <row r="756">
      <c r="A756" s="98"/>
      <c r="D756" s="95"/>
      <c r="L756" s="50"/>
      <c r="O756" s="98"/>
      <c r="Q756" s="95"/>
    </row>
    <row r="757">
      <c r="A757" s="98"/>
      <c r="D757" s="95"/>
      <c r="L757" s="50"/>
      <c r="O757" s="98"/>
      <c r="Q757" s="95"/>
    </row>
    <row r="758">
      <c r="A758" s="98"/>
      <c r="D758" s="95"/>
      <c r="L758" s="50"/>
      <c r="O758" s="98"/>
      <c r="Q758" s="95"/>
    </row>
    <row r="759">
      <c r="A759" s="98"/>
      <c r="D759" s="95"/>
      <c r="L759" s="50"/>
      <c r="O759" s="98"/>
      <c r="Q759" s="95"/>
    </row>
    <row r="760">
      <c r="A760" s="98"/>
      <c r="D760" s="95"/>
      <c r="L760" s="50"/>
      <c r="O760" s="98"/>
      <c r="Q760" s="95"/>
    </row>
    <row r="761">
      <c r="A761" s="98"/>
      <c r="D761" s="95"/>
      <c r="L761" s="50"/>
      <c r="O761" s="98"/>
      <c r="Q761" s="95"/>
    </row>
    <row r="762">
      <c r="A762" s="98"/>
      <c r="D762" s="95"/>
      <c r="L762" s="50"/>
      <c r="O762" s="98"/>
      <c r="Q762" s="95"/>
    </row>
    <row r="763">
      <c r="A763" s="98"/>
      <c r="D763" s="95"/>
      <c r="L763" s="50"/>
      <c r="O763" s="98"/>
      <c r="Q763" s="95"/>
    </row>
    <row r="764">
      <c r="A764" s="98"/>
      <c r="D764" s="95"/>
      <c r="L764" s="50"/>
      <c r="O764" s="98"/>
      <c r="Q764" s="95"/>
    </row>
    <row r="765">
      <c r="A765" s="98"/>
      <c r="D765" s="95"/>
      <c r="L765" s="50"/>
      <c r="O765" s="98"/>
      <c r="Q765" s="95"/>
    </row>
    <row r="766">
      <c r="A766" s="98"/>
      <c r="D766" s="95"/>
      <c r="L766" s="50"/>
      <c r="O766" s="98"/>
      <c r="Q766" s="95"/>
    </row>
    <row r="767">
      <c r="A767" s="98"/>
      <c r="D767" s="95"/>
      <c r="L767" s="50"/>
      <c r="O767" s="98"/>
      <c r="Q767" s="95"/>
    </row>
    <row r="768">
      <c r="A768" s="98"/>
      <c r="D768" s="95"/>
      <c r="L768" s="50"/>
      <c r="O768" s="98"/>
      <c r="Q768" s="95"/>
    </row>
    <row r="769">
      <c r="A769" s="98"/>
      <c r="D769" s="95"/>
      <c r="L769" s="50"/>
      <c r="O769" s="98"/>
      <c r="Q769" s="95"/>
    </row>
    <row r="770">
      <c r="A770" s="98"/>
      <c r="D770" s="95"/>
      <c r="L770" s="50"/>
      <c r="O770" s="98"/>
      <c r="Q770" s="95"/>
    </row>
    <row r="771">
      <c r="A771" s="98"/>
      <c r="D771" s="95"/>
      <c r="L771" s="50"/>
      <c r="O771" s="98"/>
      <c r="Q771" s="95"/>
    </row>
    <row r="772">
      <c r="A772" s="98"/>
      <c r="D772" s="95"/>
      <c r="L772" s="50"/>
      <c r="O772" s="98"/>
      <c r="Q772" s="95"/>
    </row>
    <row r="773">
      <c r="A773" s="98"/>
      <c r="D773" s="95"/>
      <c r="L773" s="50"/>
      <c r="O773" s="98"/>
      <c r="Q773" s="95"/>
    </row>
    <row r="774">
      <c r="A774" s="98"/>
      <c r="D774" s="95"/>
      <c r="L774" s="50"/>
      <c r="O774" s="98"/>
      <c r="Q774" s="95"/>
    </row>
    <row r="775">
      <c r="A775" s="98"/>
      <c r="D775" s="95"/>
      <c r="L775" s="50"/>
      <c r="O775" s="98"/>
      <c r="Q775" s="95"/>
    </row>
    <row r="776">
      <c r="A776" s="98"/>
      <c r="D776" s="95"/>
      <c r="L776" s="50"/>
      <c r="O776" s="98"/>
      <c r="Q776" s="95"/>
    </row>
    <row r="777">
      <c r="A777" s="98"/>
      <c r="D777" s="95"/>
      <c r="L777" s="50"/>
      <c r="O777" s="98"/>
      <c r="Q777" s="95"/>
    </row>
    <row r="778">
      <c r="A778" s="98"/>
      <c r="D778" s="95"/>
      <c r="L778" s="50"/>
      <c r="O778" s="98"/>
      <c r="Q778" s="95"/>
    </row>
    <row r="779">
      <c r="A779" s="98"/>
      <c r="D779" s="95"/>
      <c r="L779" s="50"/>
      <c r="O779" s="98"/>
      <c r="Q779" s="95"/>
    </row>
    <row r="780">
      <c r="A780" s="98"/>
      <c r="D780" s="95"/>
      <c r="L780" s="50"/>
      <c r="O780" s="98"/>
      <c r="Q780" s="95"/>
    </row>
    <row r="781">
      <c r="A781" s="98"/>
      <c r="D781" s="95"/>
      <c r="L781" s="50"/>
      <c r="O781" s="98"/>
      <c r="Q781" s="95"/>
    </row>
    <row r="782">
      <c r="A782" s="98"/>
      <c r="D782" s="95"/>
      <c r="L782" s="50"/>
      <c r="O782" s="98"/>
      <c r="Q782" s="95"/>
    </row>
    <row r="783">
      <c r="A783" s="98"/>
      <c r="D783" s="95"/>
      <c r="L783" s="50"/>
      <c r="O783" s="98"/>
      <c r="Q783" s="95"/>
    </row>
    <row r="784">
      <c r="A784" s="98"/>
      <c r="D784" s="95"/>
      <c r="L784" s="50"/>
      <c r="O784" s="98"/>
      <c r="Q784" s="95"/>
    </row>
    <row r="785">
      <c r="A785" s="98"/>
      <c r="D785" s="95"/>
      <c r="L785" s="50"/>
      <c r="O785" s="98"/>
      <c r="Q785" s="95"/>
    </row>
    <row r="786">
      <c r="A786" s="98"/>
      <c r="D786" s="95"/>
      <c r="L786" s="50"/>
      <c r="O786" s="98"/>
      <c r="Q786" s="95"/>
    </row>
    <row r="787">
      <c r="A787" s="98"/>
      <c r="D787" s="95"/>
      <c r="L787" s="50"/>
      <c r="O787" s="98"/>
      <c r="Q787" s="95"/>
    </row>
    <row r="788">
      <c r="A788" s="98"/>
      <c r="D788" s="95"/>
      <c r="L788" s="50"/>
      <c r="O788" s="98"/>
      <c r="Q788" s="95"/>
    </row>
    <row r="789">
      <c r="A789" s="98"/>
      <c r="D789" s="95"/>
      <c r="L789" s="50"/>
      <c r="O789" s="98"/>
      <c r="Q789" s="95"/>
    </row>
    <row r="790">
      <c r="A790" s="98"/>
      <c r="D790" s="95"/>
      <c r="L790" s="50"/>
      <c r="O790" s="98"/>
      <c r="Q790" s="95"/>
    </row>
    <row r="791">
      <c r="A791" s="98"/>
      <c r="D791" s="95"/>
      <c r="L791" s="50"/>
      <c r="O791" s="98"/>
      <c r="Q791" s="95"/>
    </row>
    <row r="792">
      <c r="A792" s="98"/>
      <c r="D792" s="95"/>
      <c r="L792" s="50"/>
      <c r="O792" s="98"/>
      <c r="Q792" s="95"/>
    </row>
    <row r="793">
      <c r="A793" s="98"/>
      <c r="D793" s="95"/>
      <c r="L793" s="50"/>
      <c r="O793" s="98"/>
      <c r="Q793" s="95"/>
    </row>
    <row r="794">
      <c r="A794" s="98"/>
      <c r="D794" s="95"/>
      <c r="L794" s="50"/>
      <c r="O794" s="98"/>
      <c r="Q794" s="95"/>
    </row>
    <row r="795">
      <c r="A795" s="98"/>
      <c r="D795" s="95"/>
      <c r="L795" s="50"/>
      <c r="O795" s="98"/>
      <c r="Q795" s="95"/>
    </row>
    <row r="796">
      <c r="A796" s="98"/>
      <c r="D796" s="95"/>
      <c r="L796" s="50"/>
      <c r="O796" s="98"/>
      <c r="Q796" s="95"/>
    </row>
    <row r="797">
      <c r="A797" s="98"/>
      <c r="D797" s="95"/>
      <c r="L797" s="50"/>
      <c r="O797" s="98"/>
      <c r="Q797" s="95"/>
    </row>
    <row r="798">
      <c r="A798" s="98"/>
      <c r="D798" s="95"/>
      <c r="L798" s="50"/>
      <c r="O798" s="98"/>
      <c r="Q798" s="95"/>
    </row>
    <row r="799">
      <c r="A799" s="98"/>
      <c r="D799" s="95"/>
      <c r="L799" s="50"/>
      <c r="O799" s="98"/>
      <c r="Q799" s="95"/>
    </row>
    <row r="800">
      <c r="A800" s="98"/>
      <c r="D800" s="95"/>
      <c r="L800" s="50"/>
      <c r="O800" s="98"/>
      <c r="Q800" s="95"/>
    </row>
    <row r="801">
      <c r="A801" s="98"/>
      <c r="D801" s="95"/>
      <c r="L801" s="50"/>
      <c r="O801" s="98"/>
      <c r="Q801" s="95"/>
    </row>
    <row r="802">
      <c r="A802" s="98"/>
      <c r="D802" s="95"/>
      <c r="L802" s="50"/>
      <c r="O802" s="98"/>
      <c r="Q802" s="95"/>
    </row>
    <row r="803">
      <c r="A803" s="98"/>
      <c r="D803" s="95"/>
      <c r="L803" s="50"/>
      <c r="O803" s="98"/>
      <c r="Q803" s="95"/>
    </row>
    <row r="804">
      <c r="A804" s="98"/>
      <c r="D804" s="95"/>
      <c r="L804" s="50"/>
      <c r="O804" s="98"/>
      <c r="Q804" s="95"/>
    </row>
    <row r="805">
      <c r="A805" s="98"/>
      <c r="D805" s="95"/>
      <c r="L805" s="50"/>
      <c r="O805" s="98"/>
      <c r="Q805" s="95"/>
    </row>
    <row r="806">
      <c r="A806" s="98"/>
      <c r="D806" s="95"/>
      <c r="L806" s="50"/>
      <c r="O806" s="98"/>
      <c r="Q806" s="95"/>
    </row>
    <row r="807">
      <c r="A807" s="98"/>
      <c r="D807" s="95"/>
      <c r="L807" s="50"/>
      <c r="O807" s="98"/>
      <c r="Q807" s="95"/>
    </row>
    <row r="808">
      <c r="A808" s="98"/>
      <c r="D808" s="95"/>
      <c r="L808" s="50"/>
      <c r="O808" s="98"/>
      <c r="Q808" s="95"/>
    </row>
    <row r="809">
      <c r="A809" s="98"/>
      <c r="D809" s="95"/>
      <c r="L809" s="50"/>
      <c r="O809" s="98"/>
      <c r="Q809" s="95"/>
    </row>
    <row r="810">
      <c r="A810" s="98"/>
      <c r="D810" s="95"/>
      <c r="L810" s="50"/>
      <c r="O810" s="98"/>
      <c r="Q810" s="95"/>
    </row>
    <row r="811">
      <c r="A811" s="98"/>
      <c r="D811" s="95"/>
      <c r="L811" s="50"/>
      <c r="O811" s="98"/>
      <c r="Q811" s="95"/>
    </row>
    <row r="812">
      <c r="A812" s="98"/>
      <c r="D812" s="95"/>
      <c r="L812" s="50"/>
      <c r="O812" s="98"/>
      <c r="Q812" s="95"/>
    </row>
    <row r="813">
      <c r="A813" s="98"/>
      <c r="D813" s="95"/>
      <c r="L813" s="50"/>
      <c r="O813" s="98"/>
      <c r="Q813" s="95"/>
    </row>
    <row r="814">
      <c r="A814" s="98"/>
      <c r="D814" s="95"/>
      <c r="L814" s="50"/>
      <c r="O814" s="98"/>
      <c r="Q814" s="95"/>
    </row>
    <row r="815">
      <c r="A815" s="98"/>
      <c r="D815" s="95"/>
      <c r="L815" s="50"/>
      <c r="O815" s="98"/>
      <c r="Q815" s="95"/>
    </row>
    <row r="816">
      <c r="A816" s="98"/>
      <c r="D816" s="95"/>
      <c r="L816" s="50"/>
      <c r="O816" s="98"/>
      <c r="Q816" s="95"/>
    </row>
    <row r="817">
      <c r="A817" s="98"/>
      <c r="D817" s="95"/>
      <c r="L817" s="50"/>
      <c r="O817" s="98"/>
      <c r="Q817" s="95"/>
    </row>
    <row r="818">
      <c r="A818" s="98"/>
      <c r="D818" s="95"/>
      <c r="L818" s="50"/>
      <c r="O818" s="98"/>
      <c r="Q818" s="95"/>
    </row>
    <row r="819">
      <c r="A819" s="98"/>
      <c r="D819" s="95"/>
      <c r="L819" s="50"/>
      <c r="O819" s="98"/>
      <c r="Q819" s="95"/>
    </row>
    <row r="820">
      <c r="A820" s="98"/>
      <c r="D820" s="95"/>
      <c r="L820" s="50"/>
      <c r="O820" s="98"/>
      <c r="Q820" s="95"/>
    </row>
    <row r="821">
      <c r="A821" s="98"/>
      <c r="D821" s="95"/>
      <c r="L821" s="50"/>
      <c r="O821" s="98"/>
      <c r="Q821" s="95"/>
    </row>
    <row r="822">
      <c r="A822" s="98"/>
      <c r="D822" s="95"/>
      <c r="L822" s="50"/>
      <c r="O822" s="98"/>
      <c r="Q822" s="95"/>
    </row>
    <row r="823">
      <c r="A823" s="98"/>
      <c r="D823" s="95"/>
      <c r="L823" s="50"/>
      <c r="O823" s="98"/>
      <c r="Q823" s="95"/>
    </row>
    <row r="824">
      <c r="A824" s="98"/>
      <c r="D824" s="95"/>
      <c r="L824" s="50"/>
      <c r="O824" s="98"/>
      <c r="Q824" s="95"/>
    </row>
    <row r="825">
      <c r="A825" s="98"/>
      <c r="D825" s="95"/>
      <c r="L825" s="50"/>
      <c r="O825" s="98"/>
      <c r="Q825" s="95"/>
    </row>
    <row r="826">
      <c r="A826" s="98"/>
      <c r="D826" s="95"/>
      <c r="L826" s="50"/>
      <c r="O826" s="98"/>
      <c r="Q826" s="95"/>
    </row>
    <row r="827">
      <c r="A827" s="98"/>
      <c r="D827" s="95"/>
      <c r="L827" s="50"/>
      <c r="O827" s="98"/>
      <c r="Q827" s="95"/>
    </row>
    <row r="828">
      <c r="A828" s="98"/>
      <c r="D828" s="95"/>
      <c r="L828" s="50"/>
      <c r="O828" s="98"/>
      <c r="Q828" s="95"/>
    </row>
    <row r="829">
      <c r="A829" s="98"/>
      <c r="D829" s="95"/>
      <c r="L829" s="50"/>
      <c r="O829" s="98"/>
      <c r="Q829" s="95"/>
    </row>
    <row r="830">
      <c r="A830" s="98"/>
      <c r="D830" s="95"/>
      <c r="L830" s="50"/>
      <c r="O830" s="98"/>
      <c r="Q830" s="95"/>
    </row>
    <row r="831">
      <c r="A831" s="98"/>
      <c r="D831" s="95"/>
      <c r="L831" s="50"/>
      <c r="O831" s="98"/>
      <c r="Q831" s="95"/>
    </row>
    <row r="832">
      <c r="A832" s="98"/>
      <c r="D832" s="95"/>
      <c r="L832" s="50"/>
      <c r="O832" s="98"/>
      <c r="Q832" s="95"/>
    </row>
    <row r="833">
      <c r="A833" s="98"/>
      <c r="D833" s="95"/>
      <c r="L833" s="50"/>
      <c r="O833" s="98"/>
      <c r="Q833" s="95"/>
    </row>
    <row r="834">
      <c r="A834" s="98"/>
      <c r="D834" s="95"/>
      <c r="L834" s="50"/>
      <c r="O834" s="98"/>
      <c r="Q834" s="95"/>
    </row>
    <row r="835">
      <c r="A835" s="98"/>
      <c r="D835" s="95"/>
      <c r="L835" s="50"/>
      <c r="O835" s="98"/>
      <c r="Q835" s="95"/>
    </row>
    <row r="836">
      <c r="A836" s="98"/>
      <c r="D836" s="95"/>
      <c r="L836" s="50"/>
      <c r="O836" s="98"/>
      <c r="Q836" s="95"/>
    </row>
    <row r="837">
      <c r="A837" s="98"/>
      <c r="D837" s="95"/>
      <c r="L837" s="50"/>
      <c r="O837" s="98"/>
      <c r="Q837" s="95"/>
    </row>
    <row r="838">
      <c r="A838" s="98"/>
      <c r="D838" s="95"/>
      <c r="L838" s="50"/>
      <c r="O838" s="98"/>
      <c r="Q838" s="95"/>
    </row>
    <row r="839">
      <c r="A839" s="98"/>
      <c r="D839" s="95"/>
      <c r="L839" s="50"/>
      <c r="O839" s="98"/>
      <c r="Q839" s="95"/>
    </row>
    <row r="840">
      <c r="A840" s="98"/>
      <c r="D840" s="95"/>
      <c r="L840" s="50"/>
      <c r="O840" s="98"/>
      <c r="Q840" s="95"/>
    </row>
    <row r="841">
      <c r="A841" s="98"/>
      <c r="D841" s="95"/>
      <c r="L841" s="50"/>
      <c r="O841" s="98"/>
      <c r="Q841" s="95"/>
    </row>
    <row r="842">
      <c r="A842" s="98"/>
      <c r="D842" s="95"/>
      <c r="L842" s="50"/>
      <c r="O842" s="98"/>
      <c r="Q842" s="95"/>
    </row>
    <row r="843">
      <c r="A843" s="98"/>
      <c r="D843" s="95"/>
      <c r="L843" s="50"/>
      <c r="O843" s="98"/>
      <c r="Q843" s="95"/>
    </row>
    <row r="844">
      <c r="A844" s="98"/>
      <c r="D844" s="95"/>
      <c r="L844" s="50"/>
      <c r="O844" s="98"/>
      <c r="Q844" s="95"/>
    </row>
    <row r="845">
      <c r="A845" s="98"/>
      <c r="D845" s="95"/>
      <c r="L845" s="50"/>
      <c r="O845" s="98"/>
      <c r="Q845" s="95"/>
    </row>
    <row r="846">
      <c r="A846" s="98"/>
      <c r="D846" s="95"/>
      <c r="L846" s="50"/>
      <c r="O846" s="98"/>
      <c r="Q846" s="95"/>
    </row>
    <row r="847">
      <c r="A847" s="98"/>
      <c r="D847" s="95"/>
      <c r="L847" s="50"/>
      <c r="O847" s="98"/>
      <c r="Q847" s="95"/>
    </row>
    <row r="848">
      <c r="A848" s="98"/>
      <c r="D848" s="95"/>
      <c r="L848" s="50"/>
      <c r="O848" s="98"/>
      <c r="Q848" s="95"/>
    </row>
    <row r="849">
      <c r="A849" s="98"/>
      <c r="D849" s="95"/>
      <c r="L849" s="50"/>
      <c r="O849" s="98"/>
      <c r="Q849" s="95"/>
    </row>
    <row r="850">
      <c r="A850" s="98"/>
      <c r="D850" s="95"/>
      <c r="L850" s="50"/>
      <c r="O850" s="98"/>
      <c r="Q850" s="95"/>
    </row>
    <row r="851">
      <c r="A851" s="98"/>
      <c r="D851" s="95"/>
      <c r="L851" s="50"/>
      <c r="O851" s="98"/>
      <c r="Q851" s="95"/>
    </row>
    <row r="852">
      <c r="A852" s="98"/>
      <c r="D852" s="95"/>
      <c r="L852" s="50"/>
      <c r="O852" s="98"/>
      <c r="Q852" s="95"/>
    </row>
    <row r="853">
      <c r="A853" s="98"/>
      <c r="D853" s="95"/>
      <c r="L853" s="50"/>
      <c r="O853" s="98"/>
      <c r="Q853" s="95"/>
    </row>
    <row r="854">
      <c r="A854" s="98"/>
      <c r="D854" s="95"/>
      <c r="L854" s="50"/>
      <c r="O854" s="98"/>
      <c r="Q854" s="95"/>
    </row>
    <row r="855">
      <c r="A855" s="98"/>
      <c r="D855" s="95"/>
      <c r="L855" s="50"/>
      <c r="O855" s="98"/>
      <c r="Q855" s="95"/>
    </row>
    <row r="856">
      <c r="A856" s="98"/>
      <c r="D856" s="95"/>
      <c r="L856" s="50"/>
      <c r="O856" s="98"/>
      <c r="Q856" s="95"/>
    </row>
    <row r="857">
      <c r="A857" s="98"/>
      <c r="D857" s="95"/>
      <c r="L857" s="50"/>
      <c r="O857" s="98"/>
      <c r="Q857" s="95"/>
    </row>
    <row r="858">
      <c r="A858" s="98"/>
      <c r="D858" s="95"/>
      <c r="L858" s="50"/>
      <c r="O858" s="98"/>
      <c r="Q858" s="95"/>
    </row>
    <row r="859">
      <c r="A859" s="98"/>
      <c r="D859" s="95"/>
      <c r="L859" s="50"/>
      <c r="O859" s="98"/>
      <c r="Q859" s="95"/>
    </row>
    <row r="860">
      <c r="A860" s="98"/>
      <c r="D860" s="95"/>
      <c r="L860" s="50"/>
      <c r="O860" s="98"/>
      <c r="Q860" s="95"/>
    </row>
    <row r="861">
      <c r="A861" s="98"/>
      <c r="D861" s="95"/>
      <c r="L861" s="50"/>
      <c r="O861" s="98"/>
      <c r="Q861" s="95"/>
    </row>
    <row r="862">
      <c r="A862" s="98"/>
      <c r="D862" s="95"/>
      <c r="L862" s="50"/>
      <c r="O862" s="98"/>
      <c r="Q862" s="95"/>
    </row>
    <row r="863">
      <c r="A863" s="98"/>
      <c r="D863" s="95"/>
      <c r="L863" s="50"/>
      <c r="O863" s="98"/>
      <c r="Q863" s="95"/>
    </row>
    <row r="864">
      <c r="A864" s="98"/>
      <c r="D864" s="95"/>
      <c r="L864" s="50"/>
      <c r="O864" s="98"/>
      <c r="Q864" s="95"/>
    </row>
    <row r="865">
      <c r="A865" s="98"/>
      <c r="D865" s="95"/>
      <c r="L865" s="50"/>
      <c r="O865" s="98"/>
      <c r="Q865" s="95"/>
    </row>
    <row r="866">
      <c r="A866" s="98"/>
      <c r="D866" s="95"/>
      <c r="L866" s="50"/>
      <c r="O866" s="98"/>
      <c r="Q866" s="95"/>
    </row>
    <row r="867">
      <c r="A867" s="98"/>
      <c r="D867" s="95"/>
      <c r="L867" s="50"/>
      <c r="O867" s="98"/>
      <c r="Q867" s="95"/>
    </row>
    <row r="868">
      <c r="A868" s="98"/>
      <c r="D868" s="95"/>
      <c r="L868" s="50"/>
      <c r="O868" s="98"/>
      <c r="Q868" s="95"/>
    </row>
    <row r="869">
      <c r="A869" s="98"/>
      <c r="D869" s="95"/>
      <c r="L869" s="50"/>
      <c r="O869" s="98"/>
      <c r="Q869" s="95"/>
    </row>
    <row r="870">
      <c r="A870" s="98"/>
      <c r="D870" s="95"/>
      <c r="L870" s="50"/>
      <c r="O870" s="98"/>
      <c r="Q870" s="95"/>
    </row>
    <row r="871">
      <c r="A871" s="98"/>
      <c r="D871" s="95"/>
      <c r="L871" s="50"/>
      <c r="O871" s="98"/>
      <c r="Q871" s="95"/>
    </row>
    <row r="872">
      <c r="A872" s="98"/>
      <c r="D872" s="95"/>
      <c r="L872" s="50"/>
      <c r="O872" s="98"/>
      <c r="Q872" s="95"/>
    </row>
    <row r="873">
      <c r="A873" s="98"/>
      <c r="D873" s="95"/>
      <c r="L873" s="50"/>
      <c r="O873" s="98"/>
      <c r="Q873" s="95"/>
    </row>
    <row r="874">
      <c r="A874" s="98"/>
      <c r="D874" s="95"/>
      <c r="L874" s="50"/>
      <c r="O874" s="98"/>
      <c r="Q874" s="95"/>
    </row>
    <row r="875">
      <c r="A875" s="98"/>
      <c r="D875" s="95"/>
      <c r="L875" s="50"/>
      <c r="O875" s="98"/>
      <c r="Q875" s="95"/>
    </row>
    <row r="876">
      <c r="A876" s="98"/>
      <c r="D876" s="95"/>
      <c r="L876" s="50"/>
      <c r="O876" s="98"/>
      <c r="Q876" s="95"/>
    </row>
    <row r="877">
      <c r="A877" s="98"/>
      <c r="D877" s="95"/>
      <c r="L877" s="50"/>
      <c r="O877" s="98"/>
      <c r="Q877" s="95"/>
    </row>
    <row r="878">
      <c r="A878" s="98"/>
      <c r="D878" s="95"/>
      <c r="L878" s="50"/>
      <c r="O878" s="98"/>
      <c r="Q878" s="95"/>
    </row>
    <row r="879">
      <c r="A879" s="98"/>
      <c r="D879" s="95"/>
      <c r="L879" s="50"/>
      <c r="O879" s="98"/>
      <c r="Q879" s="95"/>
    </row>
    <row r="880">
      <c r="A880" s="98"/>
      <c r="D880" s="95"/>
      <c r="L880" s="50"/>
      <c r="O880" s="98"/>
      <c r="Q880" s="95"/>
    </row>
    <row r="881">
      <c r="A881" s="98"/>
      <c r="D881" s="95"/>
      <c r="L881" s="50"/>
      <c r="O881" s="98"/>
      <c r="Q881" s="95"/>
    </row>
    <row r="882">
      <c r="A882" s="98"/>
      <c r="D882" s="95"/>
      <c r="L882" s="50"/>
      <c r="O882" s="98"/>
      <c r="Q882" s="95"/>
    </row>
    <row r="883">
      <c r="A883" s="98"/>
      <c r="D883" s="95"/>
      <c r="L883" s="50"/>
      <c r="O883" s="98"/>
      <c r="Q883" s="95"/>
    </row>
    <row r="884">
      <c r="A884" s="98"/>
      <c r="D884" s="95"/>
      <c r="L884" s="50"/>
      <c r="O884" s="98"/>
      <c r="Q884" s="95"/>
    </row>
    <row r="885">
      <c r="A885" s="98"/>
      <c r="D885" s="95"/>
      <c r="L885" s="50"/>
      <c r="O885" s="98"/>
      <c r="Q885" s="95"/>
    </row>
    <row r="886">
      <c r="A886" s="98"/>
      <c r="D886" s="95"/>
      <c r="L886" s="50"/>
      <c r="O886" s="98"/>
      <c r="Q886" s="95"/>
    </row>
    <row r="887">
      <c r="A887" s="98"/>
      <c r="D887" s="95"/>
      <c r="L887" s="50"/>
      <c r="O887" s="98"/>
      <c r="Q887" s="95"/>
    </row>
    <row r="888">
      <c r="A888" s="98"/>
      <c r="D888" s="95"/>
      <c r="L888" s="50"/>
      <c r="O888" s="98"/>
      <c r="Q888" s="95"/>
    </row>
    <row r="889">
      <c r="A889" s="98"/>
      <c r="D889" s="95"/>
      <c r="L889" s="50"/>
      <c r="O889" s="98"/>
      <c r="Q889" s="95"/>
    </row>
    <row r="890">
      <c r="A890" s="98"/>
      <c r="D890" s="95"/>
      <c r="L890" s="50"/>
      <c r="O890" s="98"/>
      <c r="Q890" s="95"/>
    </row>
    <row r="891">
      <c r="A891" s="98"/>
      <c r="D891" s="95"/>
      <c r="L891" s="50"/>
      <c r="O891" s="98"/>
      <c r="Q891" s="95"/>
    </row>
    <row r="892">
      <c r="A892" s="98"/>
      <c r="D892" s="95"/>
      <c r="L892" s="50"/>
      <c r="O892" s="98"/>
      <c r="Q892" s="95"/>
    </row>
    <row r="893">
      <c r="A893" s="98"/>
      <c r="D893" s="95"/>
      <c r="L893" s="50"/>
      <c r="O893" s="98"/>
      <c r="Q893" s="95"/>
    </row>
    <row r="894">
      <c r="A894" s="98"/>
      <c r="D894" s="95"/>
      <c r="L894" s="50"/>
      <c r="O894" s="98"/>
      <c r="Q894" s="95"/>
    </row>
    <row r="895">
      <c r="A895" s="98"/>
      <c r="D895" s="95"/>
      <c r="L895" s="50"/>
      <c r="O895" s="98"/>
      <c r="Q895" s="95"/>
    </row>
    <row r="896">
      <c r="A896" s="98"/>
      <c r="D896" s="95"/>
      <c r="L896" s="50"/>
      <c r="O896" s="98"/>
      <c r="Q896" s="95"/>
    </row>
    <row r="897">
      <c r="A897" s="98"/>
      <c r="D897" s="95"/>
      <c r="L897" s="50"/>
      <c r="O897" s="98"/>
      <c r="Q897" s="95"/>
    </row>
    <row r="898">
      <c r="A898" s="98"/>
      <c r="D898" s="95"/>
      <c r="L898" s="50"/>
      <c r="O898" s="98"/>
      <c r="Q898" s="95"/>
    </row>
    <row r="899">
      <c r="A899" s="98"/>
      <c r="D899" s="95"/>
      <c r="L899" s="50"/>
      <c r="O899" s="98"/>
      <c r="Q899" s="95"/>
    </row>
    <row r="900">
      <c r="A900" s="98"/>
      <c r="D900" s="95"/>
      <c r="L900" s="50"/>
      <c r="O900" s="98"/>
      <c r="Q900" s="95"/>
    </row>
    <row r="901">
      <c r="A901" s="98"/>
      <c r="D901" s="95"/>
      <c r="L901" s="50"/>
      <c r="O901" s="98"/>
      <c r="Q901" s="95"/>
    </row>
    <row r="902">
      <c r="A902" s="98"/>
      <c r="D902" s="95"/>
      <c r="L902" s="50"/>
      <c r="O902" s="98"/>
      <c r="Q902" s="95"/>
    </row>
    <row r="903">
      <c r="A903" s="98"/>
      <c r="D903" s="95"/>
      <c r="L903" s="50"/>
      <c r="O903" s="98"/>
      <c r="Q903" s="95"/>
    </row>
    <row r="904">
      <c r="A904" s="98"/>
      <c r="D904" s="95"/>
      <c r="L904" s="50"/>
      <c r="O904" s="98"/>
      <c r="Q904" s="95"/>
    </row>
    <row r="905">
      <c r="A905" s="98"/>
      <c r="D905" s="95"/>
      <c r="L905" s="50"/>
      <c r="O905" s="98"/>
      <c r="Q905" s="95"/>
    </row>
    <row r="906">
      <c r="A906" s="98"/>
      <c r="D906" s="95"/>
      <c r="L906" s="50"/>
      <c r="O906" s="98"/>
      <c r="Q906" s="95"/>
    </row>
    <row r="907">
      <c r="A907" s="98"/>
      <c r="D907" s="95"/>
      <c r="L907" s="50"/>
      <c r="O907" s="98"/>
      <c r="Q907" s="95"/>
    </row>
    <row r="908">
      <c r="A908" s="98"/>
      <c r="D908" s="95"/>
      <c r="L908" s="50"/>
      <c r="O908" s="98"/>
      <c r="Q908" s="95"/>
    </row>
    <row r="909">
      <c r="A909" s="98"/>
      <c r="D909" s="95"/>
      <c r="L909" s="50"/>
      <c r="O909" s="98"/>
      <c r="Q909" s="95"/>
    </row>
    <row r="910">
      <c r="A910" s="98"/>
      <c r="D910" s="95"/>
      <c r="L910" s="50"/>
      <c r="O910" s="98"/>
      <c r="Q910" s="95"/>
    </row>
    <row r="911">
      <c r="A911" s="98"/>
      <c r="D911" s="95"/>
      <c r="L911" s="50"/>
      <c r="O911" s="98"/>
      <c r="Q911" s="95"/>
    </row>
    <row r="912">
      <c r="A912" s="98"/>
      <c r="D912" s="95"/>
      <c r="L912" s="50"/>
      <c r="O912" s="98"/>
      <c r="Q912" s="95"/>
    </row>
    <row r="913">
      <c r="A913" s="98"/>
      <c r="D913" s="95"/>
      <c r="L913" s="50"/>
      <c r="O913" s="98"/>
      <c r="Q913" s="95"/>
    </row>
    <row r="914">
      <c r="A914" s="98"/>
      <c r="D914" s="95"/>
      <c r="L914" s="50"/>
      <c r="O914" s="98"/>
      <c r="Q914" s="95"/>
    </row>
    <row r="915">
      <c r="A915" s="98"/>
      <c r="D915" s="95"/>
      <c r="L915" s="50"/>
      <c r="O915" s="98"/>
      <c r="Q915" s="95"/>
    </row>
    <row r="916">
      <c r="A916" s="98"/>
      <c r="D916" s="95"/>
      <c r="L916" s="50"/>
      <c r="O916" s="98"/>
      <c r="Q916" s="95"/>
    </row>
    <row r="917">
      <c r="A917" s="98"/>
      <c r="D917" s="95"/>
      <c r="L917" s="50"/>
      <c r="O917" s="98"/>
      <c r="Q917" s="95"/>
    </row>
    <row r="918">
      <c r="A918" s="98"/>
      <c r="D918" s="95"/>
      <c r="L918" s="50"/>
      <c r="O918" s="98"/>
      <c r="Q918" s="95"/>
    </row>
    <row r="919">
      <c r="A919" s="98"/>
      <c r="D919" s="95"/>
      <c r="L919" s="50"/>
      <c r="O919" s="98"/>
      <c r="Q919" s="95"/>
    </row>
    <row r="920">
      <c r="A920" s="98"/>
      <c r="D920" s="95"/>
      <c r="L920" s="50"/>
      <c r="O920" s="98"/>
      <c r="Q920" s="95"/>
    </row>
    <row r="921">
      <c r="A921" s="98"/>
      <c r="D921" s="95"/>
      <c r="L921" s="50"/>
      <c r="O921" s="98"/>
      <c r="Q921" s="95"/>
    </row>
    <row r="922">
      <c r="A922" s="98"/>
      <c r="D922" s="95"/>
      <c r="L922" s="50"/>
      <c r="O922" s="98"/>
      <c r="Q922" s="95"/>
    </row>
    <row r="923">
      <c r="A923" s="98"/>
      <c r="D923" s="95"/>
      <c r="L923" s="50"/>
      <c r="O923" s="98"/>
      <c r="Q923" s="95"/>
    </row>
    <row r="924">
      <c r="A924" s="98"/>
      <c r="D924" s="95"/>
      <c r="L924" s="50"/>
      <c r="O924" s="98"/>
      <c r="Q924" s="95"/>
    </row>
    <row r="925">
      <c r="A925" s="98"/>
      <c r="D925" s="95"/>
      <c r="L925" s="50"/>
      <c r="O925" s="98"/>
      <c r="Q925" s="95"/>
    </row>
    <row r="926">
      <c r="A926" s="98"/>
      <c r="D926" s="95"/>
      <c r="L926" s="50"/>
      <c r="O926" s="98"/>
      <c r="Q926" s="95"/>
    </row>
    <row r="927">
      <c r="A927" s="98"/>
      <c r="D927" s="95"/>
      <c r="L927" s="50"/>
      <c r="O927" s="98"/>
      <c r="Q927" s="95"/>
    </row>
    <row r="928">
      <c r="A928" s="98"/>
      <c r="D928" s="95"/>
      <c r="L928" s="50"/>
      <c r="O928" s="98"/>
      <c r="Q928" s="95"/>
    </row>
    <row r="929">
      <c r="A929" s="98"/>
      <c r="D929" s="95"/>
      <c r="L929" s="50"/>
      <c r="O929" s="98"/>
      <c r="Q929" s="95"/>
    </row>
    <row r="930">
      <c r="A930" s="98"/>
      <c r="D930" s="95"/>
      <c r="L930" s="50"/>
      <c r="O930" s="98"/>
      <c r="Q930" s="95"/>
    </row>
    <row r="931">
      <c r="A931" s="98"/>
      <c r="D931" s="95"/>
      <c r="L931" s="50"/>
      <c r="O931" s="98"/>
      <c r="Q931" s="95"/>
    </row>
    <row r="932">
      <c r="A932" s="98"/>
      <c r="D932" s="95"/>
      <c r="L932" s="50"/>
      <c r="O932" s="98"/>
      <c r="Q932" s="95"/>
    </row>
    <row r="933">
      <c r="A933" s="98"/>
      <c r="D933" s="95"/>
      <c r="L933" s="50"/>
      <c r="O933" s="98"/>
      <c r="Q933" s="95"/>
    </row>
    <row r="934">
      <c r="A934" s="98"/>
      <c r="D934" s="95"/>
      <c r="L934" s="50"/>
      <c r="O934" s="98"/>
      <c r="Q934" s="95"/>
    </row>
    <row r="935">
      <c r="A935" s="98"/>
      <c r="D935" s="95"/>
      <c r="L935" s="50"/>
      <c r="O935" s="98"/>
      <c r="Q935" s="95"/>
    </row>
    <row r="936">
      <c r="A936" s="98"/>
      <c r="D936" s="95"/>
      <c r="L936" s="50"/>
      <c r="O936" s="98"/>
      <c r="Q936" s="95"/>
    </row>
    <row r="937">
      <c r="A937" s="98"/>
      <c r="D937" s="95"/>
      <c r="L937" s="50"/>
      <c r="O937" s="98"/>
      <c r="Q937" s="95"/>
    </row>
    <row r="938">
      <c r="A938" s="98"/>
      <c r="D938" s="95"/>
      <c r="L938" s="50"/>
      <c r="O938" s="98"/>
      <c r="Q938" s="95"/>
    </row>
    <row r="939">
      <c r="A939" s="98"/>
      <c r="D939" s="95"/>
      <c r="L939" s="50"/>
      <c r="O939" s="98"/>
      <c r="Q939" s="95"/>
    </row>
    <row r="940">
      <c r="A940" s="98"/>
      <c r="D940" s="95"/>
      <c r="L940" s="50"/>
      <c r="O940" s="98"/>
      <c r="Q940" s="95"/>
    </row>
    <row r="941">
      <c r="A941" s="98"/>
      <c r="D941" s="95"/>
      <c r="L941" s="50"/>
      <c r="O941" s="98"/>
      <c r="Q941" s="95"/>
    </row>
    <row r="942">
      <c r="A942" s="98"/>
      <c r="D942" s="95"/>
      <c r="L942" s="50"/>
      <c r="O942" s="98"/>
      <c r="Q942" s="95"/>
    </row>
    <row r="943">
      <c r="A943" s="98"/>
      <c r="D943" s="95"/>
      <c r="L943" s="50"/>
      <c r="O943" s="98"/>
      <c r="Q943" s="95"/>
    </row>
    <row r="944">
      <c r="A944" s="98"/>
      <c r="D944" s="95"/>
      <c r="L944" s="50"/>
      <c r="O944" s="98"/>
      <c r="Q944" s="95"/>
    </row>
    <row r="945">
      <c r="A945" s="98"/>
      <c r="D945" s="95"/>
      <c r="L945" s="50"/>
      <c r="O945" s="98"/>
      <c r="Q945" s="95"/>
    </row>
    <row r="946">
      <c r="A946" s="98"/>
      <c r="D946" s="95"/>
      <c r="L946" s="50"/>
      <c r="O946" s="98"/>
      <c r="Q946" s="95"/>
    </row>
    <row r="947">
      <c r="A947" s="98"/>
      <c r="D947" s="95"/>
      <c r="L947" s="50"/>
      <c r="O947" s="98"/>
      <c r="Q947" s="95"/>
    </row>
    <row r="948">
      <c r="A948" s="98"/>
      <c r="D948" s="95"/>
      <c r="L948" s="50"/>
      <c r="O948" s="98"/>
      <c r="Q948" s="95"/>
    </row>
    <row r="949">
      <c r="A949" s="98"/>
      <c r="D949" s="95"/>
      <c r="L949" s="50"/>
      <c r="O949" s="98"/>
      <c r="Q949" s="95"/>
    </row>
    <row r="950">
      <c r="A950" s="98"/>
      <c r="D950" s="95"/>
      <c r="L950" s="50"/>
      <c r="O950" s="98"/>
      <c r="Q950" s="95"/>
    </row>
    <row r="951">
      <c r="A951" s="98"/>
      <c r="D951" s="95"/>
      <c r="L951" s="50"/>
      <c r="O951" s="98"/>
      <c r="Q951" s="95"/>
    </row>
    <row r="952">
      <c r="A952" s="98"/>
      <c r="D952" s="95"/>
      <c r="L952" s="50"/>
      <c r="O952" s="98"/>
      <c r="Q952" s="95"/>
    </row>
    <row r="953">
      <c r="A953" s="98"/>
      <c r="D953" s="95"/>
      <c r="L953" s="50"/>
      <c r="O953" s="98"/>
      <c r="Q953" s="95"/>
    </row>
    <row r="954">
      <c r="A954" s="98"/>
      <c r="D954" s="95"/>
      <c r="L954" s="50"/>
      <c r="O954" s="98"/>
      <c r="Q954" s="95"/>
    </row>
    <row r="955">
      <c r="A955" s="98"/>
      <c r="D955" s="95"/>
      <c r="L955" s="50"/>
      <c r="O955" s="98"/>
      <c r="Q955" s="95"/>
    </row>
    <row r="956">
      <c r="A956" s="98"/>
      <c r="D956" s="95"/>
      <c r="L956" s="50"/>
      <c r="O956" s="98"/>
      <c r="Q956" s="95"/>
    </row>
    <row r="957">
      <c r="A957" s="98"/>
      <c r="D957" s="95"/>
      <c r="L957" s="50"/>
      <c r="O957" s="98"/>
      <c r="Q957" s="95"/>
    </row>
    <row r="958">
      <c r="A958" s="98"/>
      <c r="D958" s="95"/>
      <c r="L958" s="50"/>
      <c r="O958" s="98"/>
      <c r="Q958" s="95"/>
    </row>
    <row r="959">
      <c r="A959" s="98"/>
      <c r="D959" s="95"/>
      <c r="L959" s="50"/>
      <c r="O959" s="98"/>
      <c r="Q959" s="95"/>
    </row>
    <row r="960">
      <c r="A960" s="98"/>
      <c r="D960" s="95"/>
      <c r="L960" s="50"/>
      <c r="O960" s="98"/>
      <c r="Q960" s="95"/>
    </row>
    <row r="961">
      <c r="A961" s="98"/>
      <c r="D961" s="95"/>
      <c r="L961" s="50"/>
      <c r="O961" s="98"/>
      <c r="Q961" s="95"/>
    </row>
    <row r="962">
      <c r="A962" s="98"/>
      <c r="D962" s="95"/>
      <c r="L962" s="50"/>
      <c r="O962" s="98"/>
      <c r="Q962" s="95"/>
    </row>
    <row r="963">
      <c r="A963" s="98"/>
      <c r="D963" s="95"/>
      <c r="L963" s="50"/>
      <c r="O963" s="98"/>
      <c r="Q963" s="95"/>
    </row>
    <row r="964">
      <c r="A964" s="98"/>
      <c r="D964" s="95"/>
      <c r="L964" s="50"/>
      <c r="O964" s="98"/>
      <c r="Q964" s="95"/>
    </row>
    <row r="965">
      <c r="A965" s="98"/>
      <c r="D965" s="95"/>
      <c r="L965" s="50"/>
      <c r="O965" s="98"/>
      <c r="Q965" s="95"/>
    </row>
    <row r="966">
      <c r="A966" s="98"/>
      <c r="D966" s="95"/>
      <c r="L966" s="50"/>
      <c r="O966" s="98"/>
      <c r="Q966" s="95"/>
    </row>
    <row r="967">
      <c r="A967" s="98"/>
      <c r="D967" s="95"/>
      <c r="L967" s="50"/>
      <c r="O967" s="98"/>
      <c r="Q967" s="95"/>
    </row>
    <row r="968">
      <c r="A968" s="98"/>
      <c r="D968" s="95"/>
      <c r="L968" s="50"/>
      <c r="O968" s="98"/>
      <c r="Q968" s="95"/>
    </row>
    <row r="969">
      <c r="A969" s="98"/>
      <c r="D969" s="95"/>
      <c r="L969" s="50"/>
      <c r="O969" s="98"/>
      <c r="Q969" s="95"/>
    </row>
    <row r="970">
      <c r="A970" s="98"/>
      <c r="D970" s="95"/>
      <c r="L970" s="50"/>
      <c r="O970" s="98"/>
      <c r="Q970" s="95"/>
    </row>
    <row r="971">
      <c r="A971" s="98"/>
      <c r="D971" s="95"/>
      <c r="L971" s="50"/>
      <c r="O971" s="98"/>
      <c r="Q971" s="95"/>
    </row>
    <row r="972">
      <c r="A972" s="98"/>
      <c r="D972" s="95"/>
      <c r="L972" s="50"/>
      <c r="O972" s="98"/>
      <c r="Q972" s="95"/>
    </row>
    <row r="973">
      <c r="A973" s="98"/>
      <c r="D973" s="95"/>
      <c r="L973" s="50"/>
      <c r="O973" s="98"/>
      <c r="Q973" s="95"/>
    </row>
    <row r="974">
      <c r="A974" s="98"/>
      <c r="D974" s="95"/>
      <c r="L974" s="50"/>
      <c r="O974" s="98"/>
      <c r="Q974" s="95"/>
    </row>
    <row r="975">
      <c r="A975" s="98"/>
      <c r="D975" s="95"/>
      <c r="L975" s="50"/>
      <c r="O975" s="98"/>
      <c r="Q975" s="95"/>
    </row>
    <row r="976">
      <c r="A976" s="98"/>
      <c r="D976" s="95"/>
      <c r="L976" s="50"/>
      <c r="O976" s="98"/>
      <c r="Q976" s="95"/>
    </row>
    <row r="977">
      <c r="A977" s="98"/>
      <c r="D977" s="95"/>
      <c r="L977" s="50"/>
      <c r="O977" s="98"/>
      <c r="Q977" s="95"/>
    </row>
    <row r="978">
      <c r="A978" s="98"/>
      <c r="D978" s="95"/>
      <c r="L978" s="50"/>
      <c r="O978" s="98"/>
      <c r="Q978" s="95"/>
    </row>
    <row r="979">
      <c r="A979" s="98"/>
      <c r="D979" s="95"/>
      <c r="L979" s="50"/>
      <c r="O979" s="98"/>
      <c r="Q979" s="95"/>
    </row>
    <row r="980">
      <c r="A980" s="98"/>
      <c r="D980" s="95"/>
      <c r="L980" s="50"/>
      <c r="O980" s="98"/>
      <c r="Q980" s="95"/>
    </row>
    <row r="981">
      <c r="A981" s="98"/>
      <c r="D981" s="95"/>
      <c r="L981" s="50"/>
      <c r="O981" s="98"/>
      <c r="Q981" s="95"/>
    </row>
    <row r="982">
      <c r="A982" s="98"/>
      <c r="D982" s="95"/>
      <c r="L982" s="50"/>
      <c r="O982" s="98"/>
      <c r="Q982" s="95"/>
    </row>
    <row r="983">
      <c r="A983" s="98"/>
      <c r="D983" s="95"/>
      <c r="L983" s="50"/>
      <c r="O983" s="98"/>
      <c r="Q983" s="95"/>
    </row>
    <row r="984">
      <c r="A984" s="98"/>
      <c r="D984" s="95"/>
      <c r="L984" s="50"/>
      <c r="O984" s="98"/>
      <c r="Q984" s="95"/>
    </row>
    <row r="985">
      <c r="A985" s="98"/>
      <c r="D985" s="95"/>
      <c r="L985" s="50"/>
      <c r="O985" s="98"/>
      <c r="Q985" s="95"/>
    </row>
    <row r="986">
      <c r="A986" s="98"/>
      <c r="D986" s="95"/>
      <c r="L986" s="50"/>
      <c r="O986" s="98"/>
      <c r="Q986" s="95"/>
    </row>
    <row r="987">
      <c r="A987" s="98"/>
      <c r="D987" s="95"/>
      <c r="L987" s="50"/>
      <c r="O987" s="98"/>
      <c r="Q987" s="95"/>
    </row>
    <row r="988">
      <c r="A988" s="98"/>
      <c r="D988" s="95"/>
      <c r="L988" s="50"/>
      <c r="O988" s="98"/>
      <c r="Q988" s="95"/>
    </row>
    <row r="989">
      <c r="A989" s="98"/>
      <c r="D989" s="95"/>
      <c r="L989" s="50"/>
      <c r="O989" s="98"/>
      <c r="Q989" s="95"/>
    </row>
    <row r="990">
      <c r="A990" s="98"/>
      <c r="D990" s="95"/>
      <c r="L990" s="50"/>
      <c r="O990" s="98"/>
      <c r="Q990" s="95"/>
    </row>
    <row r="991">
      <c r="A991" s="98"/>
      <c r="D991" s="95"/>
      <c r="L991" s="50"/>
      <c r="O991" s="98"/>
      <c r="Q991" s="95"/>
    </row>
    <row r="992">
      <c r="A992" s="98"/>
      <c r="D992" s="95"/>
      <c r="L992" s="50"/>
      <c r="O992" s="98"/>
      <c r="Q992" s="95"/>
    </row>
    <row r="993">
      <c r="A993" s="98"/>
      <c r="D993" s="95"/>
      <c r="L993" s="50"/>
      <c r="O993" s="98"/>
      <c r="Q993" s="95"/>
    </row>
    <row r="994">
      <c r="A994" s="98"/>
      <c r="D994" s="95"/>
      <c r="L994" s="50"/>
      <c r="O994" s="98"/>
      <c r="Q994" s="95"/>
    </row>
    <row r="995">
      <c r="A995" s="98"/>
      <c r="D995" s="95"/>
      <c r="L995" s="50"/>
      <c r="O995" s="98"/>
      <c r="Q995" s="95"/>
    </row>
    <row r="996">
      <c r="A996" s="98"/>
      <c r="D996" s="95"/>
      <c r="L996" s="50"/>
      <c r="O996" s="98"/>
      <c r="Q996" s="95"/>
    </row>
    <row r="997">
      <c r="A997" s="98"/>
      <c r="D997" s="95"/>
      <c r="L997" s="50"/>
      <c r="O997" s="98"/>
      <c r="Q997" s="95"/>
    </row>
    <row r="998">
      <c r="A998" s="98"/>
      <c r="D998" s="95"/>
      <c r="L998" s="50"/>
      <c r="O998" s="98"/>
      <c r="Q998" s="95"/>
    </row>
    <row r="999">
      <c r="A999" s="98"/>
      <c r="D999" s="95"/>
      <c r="L999" s="50"/>
      <c r="O999" s="98"/>
      <c r="Q999" s="95"/>
    </row>
    <row r="1000">
      <c r="A1000" s="98"/>
      <c r="D1000" s="95"/>
      <c r="L1000" s="50"/>
      <c r="O1000" s="98"/>
      <c r="Q1000" s="95"/>
    </row>
    <row r="1001">
      <c r="A1001" s="98"/>
      <c r="D1001" s="95"/>
      <c r="L1001" s="50"/>
      <c r="O1001" s="98"/>
      <c r="Q1001" s="95"/>
    </row>
    <row r="1002">
      <c r="A1002" s="98"/>
      <c r="D1002" s="95"/>
      <c r="L1002" s="50"/>
    </row>
  </sheetData>
  <autoFilter ref="$N$2:$N$44"/>
  <mergeCells count="29">
    <mergeCell ref="C1:L2"/>
    <mergeCell ref="N1:Q1"/>
    <mergeCell ref="C4:G4"/>
    <mergeCell ref="H4:I4"/>
    <mergeCell ref="C7:D7"/>
    <mergeCell ref="J7:K7"/>
    <mergeCell ref="B33:C33"/>
    <mergeCell ref="C34:D34"/>
    <mergeCell ref="C35:D35"/>
    <mergeCell ref="C36:D36"/>
    <mergeCell ref="C37:D37"/>
    <mergeCell ref="C38:D38"/>
    <mergeCell ref="C39:D39"/>
    <mergeCell ref="C40:D40"/>
    <mergeCell ref="C48:D48"/>
    <mergeCell ref="C49:D49"/>
    <mergeCell ref="C50:D50"/>
    <mergeCell ref="C51:D51"/>
    <mergeCell ref="C52:D52"/>
    <mergeCell ref="C53:D53"/>
    <mergeCell ref="C54:D54"/>
    <mergeCell ref="C55:D55"/>
    <mergeCell ref="C41:D41"/>
    <mergeCell ref="C42:D42"/>
    <mergeCell ref="C43:D43"/>
    <mergeCell ref="C44:D44"/>
    <mergeCell ref="C45:D45"/>
    <mergeCell ref="C46:D46"/>
    <mergeCell ref="C47:D4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4.88"/>
    <col customWidth="1" min="3" max="3" width="19.25"/>
    <col customWidth="1" min="5" max="5" width="16.38"/>
    <col customWidth="1" min="8" max="8" width="13.5"/>
    <col customWidth="1" min="10" max="10" width="25.5"/>
    <col customWidth="1" min="14" max="14" width="25.13"/>
    <col customWidth="1" min="15" max="15" width="14.63"/>
    <col customWidth="1" min="16" max="16" width="15.13"/>
    <col customWidth="1" min="22" max="22" width="16.13"/>
  </cols>
  <sheetData>
    <row r="1">
      <c r="A1" s="7"/>
      <c r="B1" s="8"/>
      <c r="C1" s="9" t="s">
        <v>22</v>
      </c>
      <c r="M1" s="10"/>
      <c r="N1" s="11" t="s">
        <v>23</v>
      </c>
      <c r="R1" s="12">
        <f>SUM(Q3:Q87)- SUM(P3:P87)</f>
        <v>5554.51</v>
      </c>
      <c r="S1" s="10"/>
      <c r="T1" s="10"/>
    </row>
    <row r="2">
      <c r="A2" s="7"/>
      <c r="B2" s="8"/>
      <c r="M2" s="10"/>
      <c r="N2" s="13" t="s">
        <v>26</v>
      </c>
      <c r="O2" s="14" t="s">
        <v>27</v>
      </c>
      <c r="P2" s="13" t="s">
        <v>28</v>
      </c>
      <c r="Q2" s="15" t="s">
        <v>29</v>
      </c>
      <c r="R2" s="16"/>
      <c r="S2" s="17">
        <v>1219.0</v>
      </c>
      <c r="T2" s="10"/>
    </row>
    <row r="3">
      <c r="A3" s="7"/>
      <c r="B3" s="8"/>
      <c r="C3" s="8"/>
      <c r="D3" s="18"/>
      <c r="E3" s="8"/>
      <c r="F3" s="8"/>
      <c r="G3" s="8"/>
      <c r="H3" s="8"/>
      <c r="I3" s="8"/>
      <c r="J3" s="8"/>
      <c r="K3" s="8"/>
      <c r="L3" s="19"/>
      <c r="M3" s="10"/>
      <c r="N3" s="20" t="s">
        <v>23</v>
      </c>
      <c r="O3" s="21" t="s">
        <v>184</v>
      </c>
      <c r="P3" s="22"/>
      <c r="Q3" s="23">
        <v>3000.0</v>
      </c>
      <c r="R3" s="10"/>
      <c r="S3" s="10"/>
      <c r="T3" s="10"/>
    </row>
    <row r="4">
      <c r="A4" s="7"/>
      <c r="B4" s="8"/>
      <c r="C4" s="24" t="s">
        <v>31</v>
      </c>
      <c r="H4" s="25">
        <f>SUM(H8:H75)</f>
        <v>0</v>
      </c>
      <c r="J4" s="8"/>
      <c r="K4" s="8"/>
      <c r="L4" s="19"/>
      <c r="M4" s="10"/>
      <c r="N4" s="30" t="s">
        <v>78</v>
      </c>
      <c r="O4" s="31">
        <v>11028.0</v>
      </c>
      <c r="P4" s="91">
        <v>870.0</v>
      </c>
      <c r="Q4" s="23"/>
      <c r="R4" s="10"/>
      <c r="S4" s="16" t="s">
        <v>34</v>
      </c>
      <c r="T4" s="28">
        <f>R1-2200</f>
        <v>3354.51</v>
      </c>
      <c r="V4" s="29"/>
      <c r="W4" s="29"/>
    </row>
    <row r="5">
      <c r="A5" s="7"/>
      <c r="B5" s="8"/>
      <c r="C5" s="8"/>
      <c r="D5" s="18"/>
      <c r="E5" s="8"/>
      <c r="F5" s="8"/>
      <c r="G5" s="8"/>
      <c r="H5" s="8"/>
      <c r="I5" s="8"/>
      <c r="J5" s="8"/>
      <c r="K5" s="8"/>
      <c r="L5" s="19"/>
      <c r="M5" s="10"/>
      <c r="N5" s="30" t="s">
        <v>73</v>
      </c>
      <c r="O5" s="31">
        <v>11028.0</v>
      </c>
      <c r="P5" s="52">
        <v>32.0</v>
      </c>
      <c r="Q5" s="23"/>
      <c r="R5" s="10"/>
      <c r="S5" s="32" t="s">
        <v>37</v>
      </c>
      <c r="T5" s="33">
        <f>T4*20%</f>
        <v>670.902</v>
      </c>
    </row>
    <row r="6">
      <c r="A6" s="7"/>
      <c r="B6" s="8"/>
      <c r="C6" s="8"/>
      <c r="D6" s="18"/>
      <c r="E6" s="8"/>
      <c r="F6" s="8"/>
      <c r="G6" s="8"/>
      <c r="H6" s="8"/>
      <c r="I6" s="8"/>
      <c r="J6" s="8"/>
      <c r="K6" s="8"/>
      <c r="L6" s="19"/>
      <c r="M6" s="10"/>
      <c r="N6" s="92" t="s">
        <v>78</v>
      </c>
      <c r="O6" s="31">
        <v>6918130.0</v>
      </c>
      <c r="P6" s="109">
        <v>500.0</v>
      </c>
      <c r="Q6" s="23"/>
      <c r="R6" s="10"/>
      <c r="S6" s="32" t="s">
        <v>38</v>
      </c>
      <c r="T6" s="33">
        <f>T4*20%</f>
        <v>670.902</v>
      </c>
    </row>
    <row r="7">
      <c r="A7" s="34"/>
      <c r="B7" s="10"/>
      <c r="C7" s="35" t="s">
        <v>39</v>
      </c>
      <c r="E7" s="10"/>
      <c r="F7" s="10"/>
      <c r="G7" s="10"/>
      <c r="H7" s="10"/>
      <c r="I7" s="10"/>
      <c r="J7" s="35" t="s">
        <v>32</v>
      </c>
      <c r="L7" s="36"/>
      <c r="M7" s="10"/>
      <c r="N7" s="92" t="s">
        <v>78</v>
      </c>
      <c r="O7" s="31">
        <v>3013932.0</v>
      </c>
      <c r="P7" s="52">
        <v>320.01</v>
      </c>
      <c r="Q7" s="23"/>
      <c r="R7" s="10"/>
      <c r="S7" s="32" t="s">
        <v>42</v>
      </c>
      <c r="T7" s="33">
        <f>T4*30%</f>
        <v>1006.353</v>
      </c>
    </row>
    <row r="8">
      <c r="A8" s="14" t="s">
        <v>44</v>
      </c>
      <c r="B8" s="14" t="s">
        <v>45</v>
      </c>
      <c r="C8" s="14" t="s">
        <v>46</v>
      </c>
      <c r="D8" s="37" t="s">
        <v>47</v>
      </c>
      <c r="E8" s="14" t="s">
        <v>48</v>
      </c>
      <c r="F8" s="14" t="s">
        <v>49</v>
      </c>
      <c r="G8" s="14" t="s">
        <v>50</v>
      </c>
      <c r="H8" s="10"/>
      <c r="I8" s="13" t="s">
        <v>51</v>
      </c>
      <c r="J8" s="13" t="s">
        <v>52</v>
      </c>
      <c r="K8" s="13" t="s">
        <v>53</v>
      </c>
      <c r="L8" s="38" t="s">
        <v>54</v>
      </c>
      <c r="M8" s="10"/>
      <c r="N8" s="92" t="s">
        <v>73</v>
      </c>
      <c r="O8" s="31">
        <v>3013923.0</v>
      </c>
      <c r="P8" s="109">
        <v>70.99</v>
      </c>
      <c r="Q8" s="23"/>
      <c r="R8" s="10"/>
      <c r="S8" s="32" t="s">
        <v>56</v>
      </c>
      <c r="T8" s="33">
        <f>T4*30%</f>
        <v>1006.353</v>
      </c>
    </row>
    <row r="9">
      <c r="A9" s="110">
        <v>921.0</v>
      </c>
      <c r="B9" s="111">
        <v>46118.0</v>
      </c>
      <c r="C9" s="99" t="s">
        <v>87</v>
      </c>
      <c r="D9" s="112">
        <v>46119.0</v>
      </c>
      <c r="E9" s="99" t="s">
        <v>185</v>
      </c>
      <c r="F9" s="100">
        <v>700.0</v>
      </c>
      <c r="G9" s="101">
        <v>900.0</v>
      </c>
      <c r="H9" s="10"/>
      <c r="I9" s="30">
        <v>11028.0</v>
      </c>
      <c r="J9" s="30" t="s">
        <v>149</v>
      </c>
      <c r="K9" s="30">
        <v>155.384</v>
      </c>
      <c r="L9" s="51">
        <v>870.0</v>
      </c>
      <c r="M9" s="10"/>
      <c r="N9" s="20" t="s">
        <v>186</v>
      </c>
      <c r="O9" s="31" t="s">
        <v>187</v>
      </c>
      <c r="P9" s="22"/>
      <c r="Q9" s="23">
        <v>2566.0</v>
      </c>
      <c r="R9" s="10"/>
      <c r="S9" s="10"/>
      <c r="T9" s="10"/>
    </row>
    <row r="10">
      <c r="A10" s="110">
        <v>922.0</v>
      </c>
      <c r="B10" s="112">
        <v>46119.0</v>
      </c>
      <c r="C10" s="99" t="s">
        <v>185</v>
      </c>
      <c r="D10" s="112">
        <v>46121.0</v>
      </c>
      <c r="E10" s="99" t="s">
        <v>188</v>
      </c>
      <c r="F10" s="100">
        <v>550.0</v>
      </c>
      <c r="G10" s="101">
        <v>2050.0</v>
      </c>
      <c r="H10" s="10"/>
      <c r="I10" s="30">
        <v>6918130.0</v>
      </c>
      <c r="J10" s="30" t="s">
        <v>147</v>
      </c>
      <c r="K10" s="30">
        <v>87.735</v>
      </c>
      <c r="L10" s="51">
        <v>500.0</v>
      </c>
      <c r="M10" s="10"/>
      <c r="N10" s="92" t="s">
        <v>78</v>
      </c>
      <c r="O10" s="31">
        <v>2014553.0</v>
      </c>
      <c r="P10" s="109">
        <v>565.0</v>
      </c>
      <c r="Q10" s="23"/>
      <c r="R10" s="10"/>
      <c r="S10" s="10"/>
      <c r="T10" s="10"/>
    </row>
    <row r="11">
      <c r="A11" s="110">
        <v>928.0</v>
      </c>
      <c r="B11" s="112">
        <v>46121.0</v>
      </c>
      <c r="C11" s="99" t="s">
        <v>189</v>
      </c>
      <c r="D11" s="112">
        <v>46124.0</v>
      </c>
      <c r="E11" s="99" t="s">
        <v>190</v>
      </c>
      <c r="F11" s="100"/>
      <c r="G11" s="101">
        <v>3300.0</v>
      </c>
      <c r="H11" s="10"/>
      <c r="I11" s="30">
        <v>3013923.0</v>
      </c>
      <c r="J11" s="30" t="s">
        <v>110</v>
      </c>
      <c r="K11" s="30">
        <v>62.759</v>
      </c>
      <c r="L11" s="51">
        <v>320.01</v>
      </c>
      <c r="M11" s="10"/>
      <c r="N11" s="92" t="s">
        <v>78</v>
      </c>
      <c r="O11" s="31">
        <v>5605360.0</v>
      </c>
      <c r="P11" s="109">
        <v>445.0</v>
      </c>
      <c r="Q11" s="23"/>
      <c r="R11" s="10"/>
      <c r="S11" s="10"/>
      <c r="T11" s="10"/>
    </row>
    <row r="12">
      <c r="A12" s="110">
        <v>929.0</v>
      </c>
      <c r="B12" s="111">
        <v>46125.0</v>
      </c>
      <c r="C12" s="99" t="s">
        <v>191</v>
      </c>
      <c r="D12" s="112">
        <v>46127.0</v>
      </c>
      <c r="E12" s="99" t="s">
        <v>101</v>
      </c>
      <c r="F12" s="100"/>
      <c r="G12" s="101">
        <v>2000.0</v>
      </c>
      <c r="H12" s="10"/>
      <c r="I12" s="30">
        <v>2014553.0</v>
      </c>
      <c r="J12" s="30" t="s">
        <v>110</v>
      </c>
      <c r="K12" s="30">
        <v>113.935</v>
      </c>
      <c r="L12" s="51">
        <v>565.0</v>
      </c>
      <c r="M12" s="10"/>
      <c r="N12" s="92" t="s">
        <v>73</v>
      </c>
      <c r="O12" s="31">
        <v>5605360.0</v>
      </c>
      <c r="P12" s="109">
        <v>18.81</v>
      </c>
      <c r="Q12" s="23"/>
      <c r="R12" s="10"/>
      <c r="S12" s="10"/>
      <c r="T12" s="10"/>
    </row>
    <row r="13">
      <c r="A13" s="110">
        <v>933.0</v>
      </c>
      <c r="B13" s="111">
        <v>46127.0</v>
      </c>
      <c r="C13" s="99" t="s">
        <v>101</v>
      </c>
      <c r="D13" s="112">
        <v>46128.0</v>
      </c>
      <c r="E13" s="99" t="s">
        <v>192</v>
      </c>
      <c r="F13" s="100"/>
      <c r="G13" s="101">
        <v>1700.0</v>
      </c>
      <c r="H13" s="10"/>
      <c r="I13" s="30">
        <v>5605360.0</v>
      </c>
      <c r="J13" s="30" t="s">
        <v>147</v>
      </c>
      <c r="K13" s="30">
        <v>82.423</v>
      </c>
      <c r="L13" s="51">
        <v>445.0</v>
      </c>
      <c r="M13" s="10"/>
      <c r="N13" s="20" t="s">
        <v>193</v>
      </c>
      <c r="O13" s="21" t="s">
        <v>194</v>
      </c>
      <c r="P13" s="22">
        <v>1715.0</v>
      </c>
      <c r="Q13" s="23"/>
      <c r="R13" s="10"/>
      <c r="S13" s="10"/>
      <c r="T13" s="10"/>
    </row>
    <row r="14">
      <c r="A14" s="110">
        <v>935.0</v>
      </c>
      <c r="B14" s="111">
        <v>46128.0</v>
      </c>
      <c r="C14" s="99" t="s">
        <v>195</v>
      </c>
      <c r="D14" s="111">
        <v>46129.0</v>
      </c>
      <c r="E14" s="99" t="s">
        <v>196</v>
      </c>
      <c r="F14" s="100"/>
      <c r="G14" s="101">
        <v>1450.0</v>
      </c>
      <c r="H14" s="10"/>
      <c r="I14" s="30">
        <v>18142.0</v>
      </c>
      <c r="J14" s="30" t="s">
        <v>197</v>
      </c>
      <c r="K14" s="30">
        <v>67.808</v>
      </c>
      <c r="L14" s="51">
        <v>400.0</v>
      </c>
      <c r="M14" s="10"/>
      <c r="N14" s="30" t="s">
        <v>78</v>
      </c>
      <c r="O14" s="31">
        <v>18142.0</v>
      </c>
      <c r="P14" s="52">
        <v>400.0</v>
      </c>
      <c r="Q14" s="23"/>
      <c r="R14" s="10"/>
      <c r="S14" s="10"/>
      <c r="T14" s="10"/>
    </row>
    <row r="15">
      <c r="A15" s="110">
        <v>936.0</v>
      </c>
      <c r="B15" s="111">
        <v>46129.0</v>
      </c>
      <c r="C15" s="99" t="s">
        <v>198</v>
      </c>
      <c r="D15" s="112">
        <v>46132.0</v>
      </c>
      <c r="E15" s="99" t="s">
        <v>199</v>
      </c>
      <c r="F15" s="100"/>
      <c r="G15" s="101">
        <v>4000.0</v>
      </c>
      <c r="H15" s="10"/>
      <c r="I15" s="30">
        <v>1011665.0</v>
      </c>
      <c r="J15" s="30" t="s">
        <v>200</v>
      </c>
      <c r="K15" s="30">
        <v>69.336</v>
      </c>
      <c r="L15" s="51">
        <v>400.0</v>
      </c>
      <c r="M15" s="10"/>
      <c r="N15" s="30" t="s">
        <v>78</v>
      </c>
      <c r="O15" s="31">
        <v>1011665.0</v>
      </c>
      <c r="P15" s="52">
        <v>400.0</v>
      </c>
      <c r="Q15" s="23"/>
      <c r="R15" s="10"/>
      <c r="S15" s="10"/>
      <c r="T15" s="10"/>
    </row>
    <row r="16">
      <c r="A16" s="110">
        <v>940.0</v>
      </c>
      <c r="B16" s="112">
        <v>46132.0</v>
      </c>
      <c r="C16" s="99" t="s">
        <v>199</v>
      </c>
      <c r="D16" s="112">
        <v>46134.0</v>
      </c>
      <c r="E16" s="99" t="s">
        <v>201</v>
      </c>
      <c r="F16" s="100"/>
      <c r="G16" s="101">
        <v>2650.0</v>
      </c>
      <c r="H16" s="10"/>
      <c r="I16" s="30">
        <v>8.0013875E7</v>
      </c>
      <c r="J16" s="30" t="s">
        <v>202</v>
      </c>
      <c r="K16" s="30">
        <v>81.768</v>
      </c>
      <c r="L16" s="51">
        <v>466.0</v>
      </c>
      <c r="M16" s="10"/>
      <c r="N16" s="30" t="s">
        <v>78</v>
      </c>
      <c r="O16" s="31">
        <v>8.0013875E7</v>
      </c>
      <c r="P16" s="52">
        <v>466.0</v>
      </c>
      <c r="Q16" s="23"/>
      <c r="R16" s="10"/>
      <c r="S16" s="10"/>
      <c r="T16" s="10"/>
    </row>
    <row r="17">
      <c r="A17" s="110">
        <v>946.0</v>
      </c>
      <c r="B17" s="112">
        <v>46134.0</v>
      </c>
      <c r="C17" s="99" t="s">
        <v>104</v>
      </c>
      <c r="D17" s="112">
        <v>46135.0</v>
      </c>
      <c r="E17" s="99" t="s">
        <v>196</v>
      </c>
      <c r="F17" s="100"/>
      <c r="G17" s="101">
        <v>1229.5</v>
      </c>
      <c r="H17" s="10"/>
      <c r="I17" s="30">
        <v>1016740.0</v>
      </c>
      <c r="J17" s="30" t="s">
        <v>110</v>
      </c>
      <c r="K17" s="30">
        <v>1000.0</v>
      </c>
      <c r="L17" s="51">
        <v>500.0</v>
      </c>
      <c r="M17" s="10"/>
      <c r="N17" s="30" t="s">
        <v>73</v>
      </c>
      <c r="O17" s="31">
        <v>8.0013875E7</v>
      </c>
      <c r="P17" s="52">
        <v>24.43</v>
      </c>
      <c r="Q17" s="23"/>
      <c r="R17" s="10"/>
      <c r="S17" s="10"/>
      <c r="T17" s="10"/>
    </row>
    <row r="18">
      <c r="A18" s="110">
        <v>949.0</v>
      </c>
      <c r="B18" s="112">
        <v>46135.0</v>
      </c>
      <c r="C18" s="99" t="s">
        <v>203</v>
      </c>
      <c r="D18" s="112">
        <v>46136.0</v>
      </c>
      <c r="E18" s="99" t="s">
        <v>204</v>
      </c>
      <c r="F18" s="100"/>
      <c r="G18" s="101">
        <f>1800</f>
        <v>1800</v>
      </c>
      <c r="H18" s="10"/>
      <c r="I18" s="30">
        <v>2017780.0</v>
      </c>
      <c r="J18" s="30" t="s">
        <v>110</v>
      </c>
      <c r="K18" s="30">
        <v>113.364</v>
      </c>
      <c r="L18" s="51">
        <v>510.02</v>
      </c>
      <c r="M18" s="10"/>
      <c r="N18" s="30" t="s">
        <v>78</v>
      </c>
      <c r="O18" s="31">
        <v>1016740.0</v>
      </c>
      <c r="P18" s="52">
        <v>500.0</v>
      </c>
      <c r="Q18" s="23"/>
      <c r="R18" s="10"/>
      <c r="S18" s="10"/>
      <c r="T18" s="10"/>
    </row>
    <row r="19">
      <c r="A19" s="110">
        <v>956.0</v>
      </c>
      <c r="B19" s="112">
        <v>46136.0</v>
      </c>
      <c r="C19" s="99" t="s">
        <v>205</v>
      </c>
      <c r="D19" s="112">
        <v>46139.0</v>
      </c>
      <c r="E19" s="99" t="s">
        <v>83</v>
      </c>
      <c r="F19" s="100"/>
      <c r="G19" s="101">
        <v>3000.0</v>
      </c>
      <c r="H19" s="10"/>
      <c r="I19" s="30">
        <v>6925680.0</v>
      </c>
      <c r="J19" s="30" t="s">
        <v>147</v>
      </c>
      <c r="K19" s="30">
        <v>80.407</v>
      </c>
      <c r="L19" s="51">
        <v>410.0</v>
      </c>
      <c r="M19" s="10"/>
      <c r="N19" s="20" t="s">
        <v>186</v>
      </c>
      <c r="O19" s="31" t="s">
        <v>206</v>
      </c>
      <c r="P19" s="52"/>
      <c r="Q19" s="23">
        <v>2871.0</v>
      </c>
      <c r="R19" s="10"/>
      <c r="S19" s="10"/>
      <c r="T19" s="10"/>
    </row>
    <row r="20">
      <c r="A20" s="110">
        <v>958.0</v>
      </c>
      <c r="B20" s="112">
        <v>46139.0</v>
      </c>
      <c r="C20" s="99" t="s">
        <v>207</v>
      </c>
      <c r="D20" s="112">
        <v>46141.0</v>
      </c>
      <c r="E20" s="99" t="s">
        <v>208</v>
      </c>
      <c r="F20" s="100"/>
      <c r="G20" s="101">
        <v>2950.0</v>
      </c>
      <c r="H20" s="10"/>
      <c r="I20" s="30">
        <v>220760.0</v>
      </c>
      <c r="J20" s="30" t="s">
        <v>209</v>
      </c>
      <c r="K20" s="30">
        <v>81.911</v>
      </c>
      <c r="L20" s="51">
        <v>475.0</v>
      </c>
      <c r="M20" s="10"/>
      <c r="N20" s="30" t="s">
        <v>73</v>
      </c>
      <c r="O20" s="113">
        <v>5809064.0</v>
      </c>
      <c r="P20" s="52">
        <v>20.0</v>
      </c>
      <c r="Q20" s="23"/>
      <c r="R20" s="10"/>
      <c r="S20" s="10"/>
      <c r="T20" s="10"/>
    </row>
    <row r="21">
      <c r="A21" s="110">
        <v>964.0</v>
      </c>
      <c r="B21" s="112">
        <v>46141.0</v>
      </c>
      <c r="C21" s="99" t="s">
        <v>210</v>
      </c>
      <c r="D21" s="112">
        <v>46142.0</v>
      </c>
      <c r="E21" s="99" t="s">
        <v>66</v>
      </c>
      <c r="F21" s="100"/>
      <c r="G21" s="101">
        <v>1700.0</v>
      </c>
      <c r="H21" s="10"/>
      <c r="I21" s="30">
        <v>1593522.0</v>
      </c>
      <c r="J21" s="30" t="s">
        <v>211</v>
      </c>
      <c r="K21" s="30">
        <v>87.735</v>
      </c>
      <c r="L21" s="51">
        <v>500.0</v>
      </c>
      <c r="M21" s="10"/>
      <c r="N21" s="30" t="s">
        <v>78</v>
      </c>
      <c r="O21" s="31">
        <v>2017780.0</v>
      </c>
      <c r="P21" s="52">
        <v>510.02</v>
      </c>
      <c r="Q21" s="23"/>
      <c r="R21" s="10"/>
      <c r="S21" s="10"/>
      <c r="T21" s="10"/>
    </row>
    <row r="22">
      <c r="A22" s="110">
        <v>970.0</v>
      </c>
      <c r="B22" s="111"/>
      <c r="C22" s="99" t="s">
        <v>212</v>
      </c>
      <c r="D22" s="112"/>
      <c r="E22" s="99" t="s">
        <v>83</v>
      </c>
      <c r="F22" s="100"/>
      <c r="G22" s="101">
        <v>3200.0</v>
      </c>
      <c r="H22" s="10"/>
      <c r="I22" s="30">
        <v>2770234.0</v>
      </c>
      <c r="J22" s="30" t="s">
        <v>213</v>
      </c>
      <c r="K22" s="30">
        <v>51.557</v>
      </c>
      <c r="L22" s="51">
        <v>250.0</v>
      </c>
      <c r="M22" s="10"/>
      <c r="N22" s="30" t="s">
        <v>214</v>
      </c>
      <c r="O22" s="31" t="s">
        <v>215</v>
      </c>
      <c r="P22" s="52">
        <v>275.61</v>
      </c>
      <c r="Q22" s="23"/>
      <c r="R22" s="10"/>
      <c r="S22" s="10"/>
      <c r="T22" s="10"/>
    </row>
    <row r="23">
      <c r="A23" s="110">
        <v>968.0</v>
      </c>
      <c r="B23" s="111"/>
      <c r="C23" s="99" t="s">
        <v>101</v>
      </c>
      <c r="D23" s="111">
        <v>46146.0</v>
      </c>
      <c r="E23" s="99" t="s">
        <v>216</v>
      </c>
      <c r="F23" s="100"/>
      <c r="G23" s="101">
        <v>1150.0</v>
      </c>
      <c r="H23" s="10"/>
      <c r="I23" s="30">
        <v>10359.0</v>
      </c>
      <c r="J23" s="30" t="s">
        <v>110</v>
      </c>
      <c r="K23" s="30">
        <v>122.856</v>
      </c>
      <c r="L23" s="51">
        <v>565.01</v>
      </c>
      <c r="M23" s="10"/>
      <c r="N23" s="20" t="s">
        <v>40</v>
      </c>
      <c r="O23" s="21" t="s">
        <v>217</v>
      </c>
      <c r="P23" s="52"/>
      <c r="Q23" s="23">
        <v>3219.0</v>
      </c>
      <c r="R23" s="10"/>
      <c r="S23" s="10"/>
      <c r="T23" s="10"/>
    </row>
    <row r="24">
      <c r="A24" s="110"/>
      <c r="B24" s="111"/>
      <c r="C24" s="99"/>
      <c r="D24" s="112"/>
      <c r="E24" s="99"/>
      <c r="F24" s="100"/>
      <c r="G24" s="60"/>
      <c r="H24" s="10"/>
      <c r="I24" s="114">
        <v>6930034.0</v>
      </c>
      <c r="J24" s="30" t="s">
        <v>147</v>
      </c>
      <c r="K24" s="30">
        <v>80.016</v>
      </c>
      <c r="L24" s="51">
        <v>400.0</v>
      </c>
      <c r="M24" s="10"/>
      <c r="N24" s="20" t="s">
        <v>218</v>
      </c>
      <c r="O24" s="31"/>
      <c r="P24" s="22">
        <f>203+170+200+200+20</f>
        <v>793</v>
      </c>
      <c r="Q24" s="23"/>
      <c r="R24" s="10"/>
      <c r="S24" s="10"/>
      <c r="T24" s="10"/>
    </row>
    <row r="25">
      <c r="A25" s="110"/>
      <c r="B25" s="111"/>
      <c r="C25" s="99"/>
      <c r="D25" s="112"/>
      <c r="E25" s="99"/>
      <c r="F25" s="100"/>
      <c r="G25" s="60"/>
      <c r="H25" s="10"/>
      <c r="I25" s="30">
        <v>2019675.0</v>
      </c>
      <c r="J25" s="30" t="s">
        <v>110</v>
      </c>
      <c r="K25" s="30">
        <v>126.767</v>
      </c>
      <c r="L25" s="51">
        <v>583.0</v>
      </c>
      <c r="M25" s="10"/>
      <c r="N25" s="30" t="s">
        <v>78</v>
      </c>
      <c r="O25" s="31">
        <v>6925680.0</v>
      </c>
      <c r="P25" s="52">
        <v>410.0</v>
      </c>
      <c r="Q25" s="23"/>
      <c r="R25" s="10"/>
      <c r="S25" s="10"/>
      <c r="T25" s="10"/>
    </row>
    <row r="26">
      <c r="A26" s="110"/>
      <c r="B26" s="111"/>
      <c r="C26" s="99"/>
      <c r="D26" s="112"/>
      <c r="E26" s="99"/>
      <c r="F26" s="100"/>
      <c r="G26" s="101"/>
      <c r="H26" s="10"/>
      <c r="I26" s="30">
        <v>2019675.0</v>
      </c>
      <c r="J26" s="30" t="s">
        <v>110</v>
      </c>
      <c r="K26" s="30">
        <v>0.685</v>
      </c>
      <c r="L26" s="51">
        <v>3.15</v>
      </c>
      <c r="M26" s="10"/>
      <c r="N26" s="20" t="s">
        <v>186</v>
      </c>
      <c r="O26" s="21" t="s">
        <v>219</v>
      </c>
      <c r="P26" s="52"/>
      <c r="Q26" s="23">
        <v>1261.0</v>
      </c>
      <c r="R26" s="10"/>
      <c r="S26" s="10"/>
      <c r="T26" s="10"/>
    </row>
    <row r="27">
      <c r="A27" s="110"/>
      <c r="B27" s="111"/>
      <c r="C27" s="99"/>
      <c r="D27" s="112"/>
      <c r="E27" s="99"/>
      <c r="F27" s="100"/>
      <c r="G27" s="101"/>
      <c r="H27" s="10"/>
      <c r="I27" s="30">
        <v>28776.0</v>
      </c>
      <c r="J27" s="30" t="s">
        <v>220</v>
      </c>
      <c r="K27" s="30">
        <v>71.955</v>
      </c>
      <c r="L27" s="51">
        <v>400.0</v>
      </c>
      <c r="M27" s="10"/>
      <c r="N27" s="20" t="s">
        <v>221</v>
      </c>
      <c r="O27" s="21" t="s">
        <v>222</v>
      </c>
      <c r="P27" s="22">
        <v>2000.0</v>
      </c>
      <c r="Q27" s="23"/>
      <c r="R27" s="10"/>
      <c r="S27" s="10"/>
      <c r="T27" s="10"/>
    </row>
    <row r="28">
      <c r="A28" s="110"/>
      <c r="B28" s="111"/>
      <c r="C28" s="99"/>
      <c r="D28" s="112"/>
      <c r="E28" s="99"/>
      <c r="F28" s="100"/>
      <c r="G28" s="101"/>
      <c r="H28" s="10"/>
      <c r="I28" s="30">
        <v>812464.0</v>
      </c>
      <c r="J28" s="30" t="s">
        <v>223</v>
      </c>
      <c r="K28" s="30">
        <v>65.585</v>
      </c>
      <c r="L28" s="51">
        <v>400.0</v>
      </c>
      <c r="M28" s="10"/>
      <c r="N28" s="30" t="s">
        <v>73</v>
      </c>
      <c r="O28" s="31">
        <v>220760.0</v>
      </c>
      <c r="P28" s="52">
        <v>25.0</v>
      </c>
      <c r="Q28" s="23"/>
      <c r="R28" s="10"/>
      <c r="S28" s="10"/>
      <c r="T28" s="10"/>
    </row>
    <row r="29">
      <c r="A29" s="110"/>
      <c r="B29" s="111"/>
      <c r="C29" s="99"/>
      <c r="D29" s="112"/>
      <c r="E29" s="99"/>
      <c r="F29" s="100"/>
      <c r="G29" s="101"/>
      <c r="H29" s="10"/>
      <c r="I29" s="30">
        <v>6932116.0</v>
      </c>
      <c r="J29" s="30" t="s">
        <v>147</v>
      </c>
      <c r="K29" s="30">
        <v>90.403</v>
      </c>
      <c r="L29" s="51">
        <v>470.01</v>
      </c>
      <c r="M29" s="10"/>
      <c r="N29" s="30" t="s">
        <v>78</v>
      </c>
      <c r="O29" s="31">
        <v>220760.0</v>
      </c>
      <c r="P29" s="52">
        <v>475.0</v>
      </c>
      <c r="Q29" s="23"/>
      <c r="R29" s="10"/>
      <c r="S29" s="10"/>
      <c r="T29" s="10"/>
    </row>
    <row r="30">
      <c r="A30" s="110"/>
      <c r="B30" s="111"/>
      <c r="C30" s="99"/>
      <c r="D30" s="112"/>
      <c r="E30" s="99"/>
      <c r="F30" s="100"/>
      <c r="G30" s="101">
        <f>SUM(G9:G23)</f>
        <v>33079.5</v>
      </c>
      <c r="H30" s="10"/>
      <c r="I30" s="114">
        <v>2011853.0</v>
      </c>
      <c r="J30" s="30" t="s">
        <v>110</v>
      </c>
      <c r="K30" s="30">
        <v>129.211</v>
      </c>
      <c r="L30" s="51">
        <v>633.0</v>
      </c>
      <c r="M30" s="10"/>
      <c r="N30" s="20" t="s">
        <v>40</v>
      </c>
      <c r="O30" s="21" t="s">
        <v>224</v>
      </c>
      <c r="P30" s="22"/>
      <c r="Q30" s="23">
        <v>3480.0</v>
      </c>
      <c r="R30" s="10"/>
      <c r="S30" s="10"/>
      <c r="T30" s="10"/>
    </row>
    <row r="31">
      <c r="A31" s="110"/>
      <c r="B31" s="111"/>
      <c r="C31" s="99"/>
      <c r="D31" s="112"/>
      <c r="E31" s="99"/>
      <c r="F31" s="100"/>
      <c r="G31" s="101">
        <f>G30/15</f>
        <v>2205.3</v>
      </c>
      <c r="H31" s="10"/>
      <c r="I31" s="30"/>
      <c r="J31" s="30"/>
      <c r="K31" s="30"/>
      <c r="L31" s="51"/>
      <c r="M31" s="10"/>
      <c r="N31" s="30" t="s">
        <v>11</v>
      </c>
      <c r="O31" s="31" t="s">
        <v>225</v>
      </c>
      <c r="P31" s="52">
        <f>105+1942+30</f>
        <v>2077</v>
      </c>
      <c r="Q31" s="23"/>
      <c r="R31" s="10"/>
      <c r="S31" s="10"/>
      <c r="T31" s="10"/>
    </row>
    <row r="32">
      <c r="A32" s="34"/>
      <c r="B32" s="10"/>
      <c r="C32" s="10"/>
      <c r="D32" s="67"/>
      <c r="E32" s="10"/>
      <c r="F32" s="10"/>
      <c r="G32" s="10"/>
      <c r="H32" s="10"/>
      <c r="I32" s="30"/>
      <c r="J32" s="30"/>
      <c r="K32" s="30"/>
      <c r="L32" s="51"/>
      <c r="M32" s="10"/>
      <c r="N32" s="20" t="s">
        <v>40</v>
      </c>
      <c r="O32" s="21" t="s">
        <v>226</v>
      </c>
      <c r="P32" s="22"/>
      <c r="Q32" s="23">
        <v>2305.0</v>
      </c>
      <c r="R32" s="10"/>
      <c r="S32" s="10"/>
      <c r="T32" s="10"/>
    </row>
    <row r="33">
      <c r="A33" s="10"/>
      <c r="B33" s="10"/>
      <c r="C33" s="10"/>
      <c r="D33" s="67"/>
      <c r="E33" s="10"/>
      <c r="F33" s="10"/>
      <c r="G33" s="10"/>
      <c r="H33" s="10"/>
      <c r="I33" s="30"/>
      <c r="J33" s="30"/>
      <c r="K33" s="30"/>
      <c r="L33" s="51"/>
      <c r="M33" s="10"/>
      <c r="N33" s="20" t="s">
        <v>40</v>
      </c>
      <c r="O33" s="21" t="s">
        <v>227</v>
      </c>
      <c r="P33" s="22"/>
      <c r="Q33" s="23">
        <v>1070.0</v>
      </c>
      <c r="R33" s="10"/>
      <c r="S33" s="10"/>
      <c r="T33" s="10"/>
    </row>
    <row r="34">
      <c r="A34" s="10"/>
      <c r="B34" s="11" t="s">
        <v>128</v>
      </c>
      <c r="D34" s="67"/>
      <c r="E34" s="10"/>
      <c r="F34" s="10"/>
      <c r="G34" s="10"/>
      <c r="H34" s="10"/>
      <c r="I34" s="30"/>
      <c r="J34" s="30"/>
      <c r="K34" s="30"/>
      <c r="L34" s="51"/>
      <c r="M34" s="10"/>
      <c r="N34" s="20" t="s">
        <v>40</v>
      </c>
      <c r="O34" s="21" t="s">
        <v>228</v>
      </c>
      <c r="P34" s="52"/>
      <c r="Q34" s="23">
        <v>1566.0</v>
      </c>
      <c r="R34" s="10"/>
      <c r="S34" s="10"/>
      <c r="T34" s="10"/>
    </row>
    <row r="35">
      <c r="A35" s="14" t="s">
        <v>131</v>
      </c>
      <c r="B35" s="14" t="s">
        <v>132</v>
      </c>
      <c r="C35" s="72" t="s">
        <v>133</v>
      </c>
      <c r="D35" s="73"/>
      <c r="E35" s="74" t="s">
        <v>134</v>
      </c>
      <c r="F35" s="10"/>
      <c r="G35" s="10"/>
      <c r="H35" s="10"/>
      <c r="I35" s="30"/>
      <c r="J35" s="30"/>
      <c r="K35" s="30"/>
      <c r="L35" s="51"/>
      <c r="M35" s="10"/>
      <c r="N35" s="30" t="s">
        <v>78</v>
      </c>
      <c r="O35" s="31">
        <v>1593522.0</v>
      </c>
      <c r="P35" s="52">
        <v>500.0</v>
      </c>
      <c r="Q35" s="23"/>
      <c r="R35" s="10"/>
      <c r="S35" s="10"/>
      <c r="T35" s="10"/>
    </row>
    <row r="36">
      <c r="A36" s="21" t="s">
        <v>73</v>
      </c>
      <c r="B36" s="21">
        <v>11028.0</v>
      </c>
      <c r="C36" s="79" t="s">
        <v>229</v>
      </c>
      <c r="D36" s="73"/>
      <c r="E36" s="80">
        <v>32.0</v>
      </c>
      <c r="F36" s="10"/>
      <c r="G36" s="10"/>
      <c r="H36" s="10"/>
      <c r="I36" s="30"/>
      <c r="J36" s="30"/>
      <c r="K36" s="30"/>
      <c r="L36" s="51"/>
      <c r="M36" s="10"/>
      <c r="N36" s="30" t="s">
        <v>78</v>
      </c>
      <c r="O36" s="31">
        <v>2770234.0</v>
      </c>
      <c r="P36" s="52">
        <v>250.0</v>
      </c>
      <c r="Q36" s="23"/>
      <c r="R36" s="10"/>
      <c r="S36" s="10"/>
      <c r="T36" s="10"/>
    </row>
    <row r="37">
      <c r="A37" s="75" t="s">
        <v>73</v>
      </c>
      <c r="B37" s="75">
        <v>3013923.0</v>
      </c>
      <c r="C37" s="76" t="s">
        <v>230</v>
      </c>
      <c r="D37" s="77"/>
      <c r="E37" s="78">
        <v>70.99</v>
      </c>
      <c r="F37" s="10"/>
      <c r="G37" s="10"/>
      <c r="H37" s="10"/>
      <c r="I37" s="30"/>
      <c r="J37" s="30"/>
      <c r="K37" s="30"/>
      <c r="L37" s="51"/>
      <c r="M37" s="10"/>
      <c r="N37" s="30" t="s">
        <v>78</v>
      </c>
      <c r="O37" s="31">
        <v>10359.0</v>
      </c>
      <c r="P37" s="52">
        <v>565.01</v>
      </c>
      <c r="Q37" s="23"/>
      <c r="R37" s="10"/>
      <c r="S37" s="10"/>
      <c r="T37" s="10"/>
    </row>
    <row r="38">
      <c r="A38" s="75" t="s">
        <v>73</v>
      </c>
      <c r="B38" s="21">
        <v>2014553.0</v>
      </c>
      <c r="C38" s="76" t="s">
        <v>231</v>
      </c>
      <c r="D38" s="77"/>
      <c r="E38" s="78">
        <v>23.0</v>
      </c>
      <c r="F38" s="10"/>
      <c r="G38" s="10"/>
      <c r="H38" s="10"/>
      <c r="I38" s="30"/>
      <c r="J38" s="30"/>
      <c r="K38" s="30"/>
      <c r="L38" s="51"/>
      <c r="M38" s="10"/>
      <c r="N38" s="30" t="s">
        <v>73</v>
      </c>
      <c r="O38" s="31">
        <v>10359.0</v>
      </c>
      <c r="P38" s="52">
        <v>30.99</v>
      </c>
      <c r="Q38" s="23"/>
      <c r="R38" s="10"/>
      <c r="S38" s="10"/>
      <c r="T38" s="10"/>
    </row>
    <row r="39">
      <c r="A39" s="75" t="s">
        <v>73</v>
      </c>
      <c r="B39" s="75">
        <v>5605360.0</v>
      </c>
      <c r="C39" s="76" t="s">
        <v>232</v>
      </c>
      <c r="D39" s="77"/>
      <c r="E39" s="78">
        <v>18.81</v>
      </c>
      <c r="F39" s="10"/>
      <c r="G39" s="10"/>
      <c r="H39" s="10"/>
      <c r="I39" s="30"/>
      <c r="J39" s="30"/>
      <c r="K39" s="30"/>
      <c r="L39" s="51"/>
      <c r="M39" s="10"/>
      <c r="N39" s="30" t="s">
        <v>78</v>
      </c>
      <c r="O39" s="113">
        <v>6930034.0</v>
      </c>
      <c r="P39" s="52">
        <v>400.0</v>
      </c>
      <c r="Q39" s="23"/>
      <c r="R39" s="10"/>
      <c r="S39" s="10"/>
      <c r="T39" s="10"/>
    </row>
    <row r="40">
      <c r="A40" s="75" t="s">
        <v>73</v>
      </c>
      <c r="B40" s="75">
        <v>8.0013875E7</v>
      </c>
      <c r="C40" s="76" t="s">
        <v>233</v>
      </c>
      <c r="D40" s="77"/>
      <c r="E40" s="78">
        <v>24.43</v>
      </c>
      <c r="F40" s="10"/>
      <c r="G40" s="10"/>
      <c r="H40" s="10"/>
      <c r="I40" s="30"/>
      <c r="J40" s="30"/>
      <c r="K40" s="30"/>
      <c r="L40" s="51"/>
      <c r="M40" s="10"/>
      <c r="N40" s="30" t="s">
        <v>73</v>
      </c>
      <c r="O40" s="113">
        <v>6930034.0</v>
      </c>
      <c r="P40" s="52">
        <v>22.0</v>
      </c>
      <c r="Q40" s="23"/>
      <c r="R40" s="10"/>
      <c r="S40" s="10"/>
      <c r="T40" s="10"/>
    </row>
    <row r="41">
      <c r="A41" s="75" t="s">
        <v>73</v>
      </c>
      <c r="B41" s="75">
        <v>5809064.0</v>
      </c>
      <c r="C41" s="76" t="s">
        <v>234</v>
      </c>
      <c r="D41" s="77"/>
      <c r="E41" s="78">
        <v>20.0</v>
      </c>
      <c r="F41" s="10"/>
      <c r="G41" s="10"/>
      <c r="H41" s="10"/>
      <c r="I41" s="30"/>
      <c r="J41" s="30"/>
      <c r="K41" s="30"/>
      <c r="L41" s="51"/>
      <c r="M41" s="10"/>
      <c r="N41" s="30" t="s">
        <v>78</v>
      </c>
      <c r="O41" s="31">
        <v>2019675.0</v>
      </c>
      <c r="P41" s="52">
        <v>583.0</v>
      </c>
      <c r="Q41" s="23"/>
      <c r="R41" s="10"/>
      <c r="S41" s="10"/>
      <c r="T41" s="10"/>
    </row>
    <row r="42">
      <c r="A42" s="75" t="s">
        <v>73</v>
      </c>
      <c r="B42" s="75">
        <v>6925680.0</v>
      </c>
      <c r="C42" s="76" t="s">
        <v>235</v>
      </c>
      <c r="D42" s="77"/>
      <c r="E42" s="78">
        <v>23.0</v>
      </c>
      <c r="F42" s="10"/>
      <c r="G42" s="10"/>
      <c r="H42" s="10"/>
      <c r="I42" s="30"/>
      <c r="J42" s="30"/>
      <c r="K42" s="30"/>
      <c r="L42" s="51"/>
      <c r="M42" s="10"/>
      <c r="N42" s="30" t="s">
        <v>73</v>
      </c>
      <c r="O42" s="31">
        <v>2019675.0</v>
      </c>
      <c r="P42" s="52">
        <v>40.05</v>
      </c>
      <c r="Q42" s="23"/>
      <c r="R42" s="10"/>
      <c r="S42" s="10"/>
      <c r="T42" s="10"/>
    </row>
    <row r="43">
      <c r="A43" s="75" t="s">
        <v>73</v>
      </c>
      <c r="B43" s="75">
        <v>220760.0</v>
      </c>
      <c r="C43" s="76" t="s">
        <v>236</v>
      </c>
      <c r="D43" s="77"/>
      <c r="E43" s="78">
        <v>25.0</v>
      </c>
      <c r="F43" s="10"/>
      <c r="G43" s="10"/>
      <c r="H43" s="10"/>
      <c r="I43" s="30"/>
      <c r="J43" s="30"/>
      <c r="K43" s="30"/>
      <c r="L43" s="51"/>
      <c r="M43" s="10"/>
      <c r="N43" s="30" t="s">
        <v>78</v>
      </c>
      <c r="O43" s="31">
        <v>2019675.0</v>
      </c>
      <c r="P43" s="52">
        <v>3.15</v>
      </c>
      <c r="Q43" s="23"/>
      <c r="R43" s="10"/>
      <c r="S43" s="10"/>
      <c r="T43" s="10"/>
    </row>
    <row r="44">
      <c r="A44" s="75" t="s">
        <v>73</v>
      </c>
      <c r="B44" s="75">
        <v>10359.0</v>
      </c>
      <c r="C44" s="76" t="s">
        <v>237</v>
      </c>
      <c r="D44" s="77"/>
      <c r="E44" s="78">
        <v>30.99</v>
      </c>
      <c r="F44" s="10"/>
      <c r="G44" s="10"/>
      <c r="H44" s="10"/>
      <c r="I44" s="60"/>
      <c r="J44" s="60"/>
      <c r="K44" s="60"/>
      <c r="L44" s="81"/>
      <c r="M44" s="10"/>
      <c r="N44" s="20" t="s">
        <v>221</v>
      </c>
      <c r="O44" s="21" t="s">
        <v>238</v>
      </c>
      <c r="P44" s="22">
        <v>2000.0</v>
      </c>
      <c r="Q44" s="23"/>
      <c r="R44" s="10"/>
      <c r="S44" s="10"/>
      <c r="T44" s="10"/>
    </row>
    <row r="45">
      <c r="A45" s="75" t="s">
        <v>73</v>
      </c>
      <c r="B45" s="75">
        <v>6930034.0</v>
      </c>
      <c r="C45" s="76" t="s">
        <v>239</v>
      </c>
      <c r="D45" s="77"/>
      <c r="E45" s="78">
        <v>22.0</v>
      </c>
      <c r="F45" s="10"/>
      <c r="G45" s="10"/>
      <c r="H45" s="10"/>
      <c r="I45" s="60"/>
      <c r="J45" s="60"/>
      <c r="K45" s="60"/>
      <c r="L45" s="81"/>
      <c r="M45" s="10"/>
      <c r="N45" s="30" t="s">
        <v>85</v>
      </c>
      <c r="O45" s="31" t="s">
        <v>215</v>
      </c>
      <c r="P45" s="52">
        <v>196.43</v>
      </c>
      <c r="Q45" s="23"/>
      <c r="R45" s="10"/>
      <c r="S45" s="10"/>
      <c r="T45" s="10"/>
    </row>
    <row r="46">
      <c r="A46" s="75" t="s">
        <v>73</v>
      </c>
      <c r="B46" s="21">
        <v>2019675.0</v>
      </c>
      <c r="C46" s="76" t="s">
        <v>240</v>
      </c>
      <c r="D46" s="77"/>
      <c r="E46" s="78">
        <v>40.05</v>
      </c>
      <c r="F46" s="10"/>
      <c r="G46" s="10"/>
      <c r="H46" s="10"/>
      <c r="I46" s="60"/>
      <c r="J46" s="60"/>
      <c r="K46" s="60"/>
      <c r="L46" s="81"/>
      <c r="M46" s="10"/>
      <c r="N46" s="30" t="s">
        <v>186</v>
      </c>
      <c r="O46" s="31" t="s">
        <v>241</v>
      </c>
      <c r="P46" s="52"/>
      <c r="Q46" s="23">
        <v>2610.0</v>
      </c>
      <c r="R46" s="10"/>
      <c r="S46" s="10"/>
      <c r="T46" s="10"/>
    </row>
    <row r="47">
      <c r="A47" s="75" t="s">
        <v>73</v>
      </c>
      <c r="B47" s="75">
        <v>6932116.0</v>
      </c>
      <c r="C47" s="76" t="s">
        <v>242</v>
      </c>
      <c r="D47" s="77"/>
      <c r="E47" s="78">
        <v>29.99</v>
      </c>
      <c r="F47" s="10"/>
      <c r="G47" s="10"/>
      <c r="H47" s="10"/>
      <c r="I47" s="60"/>
      <c r="J47" s="60"/>
      <c r="K47" s="60"/>
      <c r="L47" s="81"/>
      <c r="M47" s="10"/>
      <c r="N47" s="30" t="s">
        <v>78</v>
      </c>
      <c r="O47" s="31">
        <v>28776.0</v>
      </c>
      <c r="P47" s="52">
        <v>400.0</v>
      </c>
      <c r="Q47" s="23"/>
      <c r="R47" s="10"/>
      <c r="S47" s="10"/>
      <c r="T47" s="10"/>
    </row>
    <row r="48">
      <c r="A48" s="75" t="s">
        <v>73</v>
      </c>
      <c r="B48" s="75">
        <v>2011854.0</v>
      </c>
      <c r="C48" s="76" t="s">
        <v>243</v>
      </c>
      <c r="D48" s="77"/>
      <c r="E48" s="78">
        <v>26.99</v>
      </c>
      <c r="F48" s="10"/>
      <c r="G48" s="10"/>
      <c r="H48" s="10"/>
      <c r="I48" s="60"/>
      <c r="J48" s="60"/>
      <c r="K48" s="85" t="s">
        <v>154</v>
      </c>
      <c r="L48" s="86">
        <f>SUM(L9:L34)</f>
        <v>10065.2</v>
      </c>
      <c r="M48" s="10"/>
      <c r="N48" s="30" t="s">
        <v>78</v>
      </c>
      <c r="O48" s="31">
        <v>812464.0</v>
      </c>
      <c r="P48" s="52">
        <v>400.0</v>
      </c>
      <c r="Q48" s="23"/>
      <c r="R48" s="10"/>
      <c r="S48" s="10"/>
      <c r="T48" s="10"/>
    </row>
    <row r="49">
      <c r="A49" s="75"/>
      <c r="B49" s="75"/>
      <c r="C49" s="76"/>
      <c r="D49" s="77"/>
      <c r="E49" s="78"/>
      <c r="F49" s="10"/>
      <c r="G49" s="10"/>
      <c r="H49" s="10"/>
      <c r="I49" s="10"/>
      <c r="J49" s="10"/>
      <c r="K49" s="10"/>
      <c r="L49" s="36"/>
      <c r="M49" s="10"/>
      <c r="N49" s="30" t="s">
        <v>78</v>
      </c>
      <c r="O49" s="31">
        <v>6932116.0</v>
      </c>
      <c r="P49" s="52">
        <v>470.01</v>
      </c>
      <c r="Q49" s="23"/>
      <c r="R49" s="10"/>
      <c r="S49" s="10"/>
      <c r="T49" s="10"/>
    </row>
    <row r="50">
      <c r="A50" s="75"/>
      <c r="B50" s="75"/>
      <c r="C50" s="76"/>
      <c r="D50" s="77"/>
      <c r="E50" s="78"/>
      <c r="F50" s="10"/>
      <c r="G50" s="10"/>
      <c r="H50" s="10"/>
      <c r="I50" s="10"/>
      <c r="J50" s="10"/>
      <c r="K50" s="10"/>
      <c r="L50" s="36"/>
      <c r="M50" s="10"/>
      <c r="N50" s="30" t="s">
        <v>73</v>
      </c>
      <c r="O50" s="31">
        <v>6932116.0</v>
      </c>
      <c r="P50" s="52">
        <v>29.99</v>
      </c>
      <c r="Q50" s="23"/>
      <c r="R50" s="10"/>
      <c r="S50" s="10"/>
      <c r="T50" s="10"/>
    </row>
    <row r="51">
      <c r="A51" s="75"/>
      <c r="B51" s="75"/>
      <c r="C51" s="76"/>
      <c r="D51" s="77"/>
      <c r="E51" s="78"/>
      <c r="F51" s="10"/>
      <c r="G51" s="10"/>
      <c r="H51" s="10"/>
      <c r="I51" s="10"/>
      <c r="J51" s="10"/>
      <c r="K51" s="16" t="s">
        <v>156</v>
      </c>
      <c r="L51" s="28" t="str">
        <f>#REF!</f>
        <v>#REF!</v>
      </c>
      <c r="M51" s="10"/>
      <c r="N51" s="30" t="s">
        <v>73</v>
      </c>
      <c r="O51" s="113">
        <v>2011854.0</v>
      </c>
      <c r="P51" s="52">
        <v>26.99</v>
      </c>
      <c r="Q51" s="23"/>
      <c r="R51" s="10"/>
      <c r="S51" s="10"/>
      <c r="T51" s="10"/>
    </row>
    <row r="52">
      <c r="A52" s="75"/>
      <c r="B52" s="75"/>
      <c r="C52" s="76"/>
      <c r="D52" s="77"/>
      <c r="E52" s="78"/>
      <c r="F52" s="10"/>
      <c r="G52" s="10"/>
      <c r="H52" s="10"/>
      <c r="I52" s="10"/>
      <c r="J52" s="10"/>
      <c r="K52" s="16" t="s">
        <v>157</v>
      </c>
      <c r="L52" s="28">
        <f>L48</f>
        <v>10065.2</v>
      </c>
      <c r="M52" s="10"/>
      <c r="N52" s="30" t="s">
        <v>78</v>
      </c>
      <c r="O52" s="113">
        <v>2011853.0</v>
      </c>
      <c r="P52" s="52">
        <v>633.0</v>
      </c>
      <c r="Q52" s="23"/>
      <c r="R52" s="10"/>
      <c r="S52" s="10"/>
      <c r="T52" s="10"/>
    </row>
    <row r="53">
      <c r="A53" s="75"/>
      <c r="B53" s="75"/>
      <c r="C53" s="76"/>
      <c r="D53" s="77"/>
      <c r="E53" s="78"/>
      <c r="F53" s="10"/>
      <c r="G53" s="10"/>
      <c r="H53" s="10"/>
      <c r="I53" s="10"/>
      <c r="J53" s="10"/>
      <c r="K53" s="16" t="s">
        <v>128</v>
      </c>
      <c r="L53" s="28">
        <f>E56</f>
        <v>387.25</v>
      </c>
      <c r="M53" s="10"/>
      <c r="N53" s="30" t="s">
        <v>244</v>
      </c>
      <c r="O53" s="31" t="s">
        <v>245</v>
      </c>
      <c r="P53" s="52">
        <v>300.0</v>
      </c>
      <c r="Q53" s="23"/>
      <c r="R53" s="10"/>
      <c r="S53" s="10"/>
      <c r="T53" s="10"/>
    </row>
    <row r="54">
      <c r="A54" s="75"/>
      <c r="B54" s="75"/>
      <c r="C54" s="76"/>
      <c r="D54" s="77"/>
      <c r="E54" s="78"/>
      <c r="F54" s="10"/>
      <c r="G54" s="10"/>
      <c r="H54" s="10"/>
      <c r="I54" s="10"/>
      <c r="J54" s="10"/>
      <c r="K54" s="16" t="s">
        <v>20</v>
      </c>
      <c r="L54" s="28" t="str">
        <f>L51-L52-L53</f>
        <v>#REF!</v>
      </c>
      <c r="M54" s="10"/>
      <c r="N54" s="20" t="s">
        <v>40</v>
      </c>
      <c r="O54" s="21" t="s">
        <v>246</v>
      </c>
      <c r="P54" s="22"/>
      <c r="Q54" s="23">
        <v>4054.0</v>
      </c>
      <c r="R54" s="10"/>
      <c r="S54" s="10"/>
      <c r="T54" s="10"/>
    </row>
    <row r="55">
      <c r="A55" s="75"/>
      <c r="B55" s="75"/>
      <c r="C55" s="76"/>
      <c r="D55" s="77"/>
      <c r="E55" s="78"/>
      <c r="F55" s="10"/>
      <c r="G55" s="10"/>
      <c r="H55" s="10"/>
      <c r="I55" s="10"/>
      <c r="J55" s="10"/>
      <c r="K55" s="10"/>
      <c r="L55" s="36"/>
      <c r="M55" s="10"/>
      <c r="N55" s="20" t="s">
        <v>186</v>
      </c>
      <c r="O55" s="21" t="s">
        <v>247</v>
      </c>
      <c r="P55" s="22"/>
      <c r="Q55" s="23">
        <v>2784.0</v>
      </c>
      <c r="R55" s="10"/>
      <c r="S55" s="10"/>
      <c r="T55" s="10"/>
    </row>
    <row r="56">
      <c r="A56" s="59"/>
      <c r="B56" s="59"/>
      <c r="C56" s="87" t="s">
        <v>20</v>
      </c>
      <c r="D56" s="73"/>
      <c r="E56" s="88">
        <f>SUM(E36:E55)</f>
        <v>387.25</v>
      </c>
      <c r="F56" s="10"/>
      <c r="G56" s="10"/>
      <c r="H56" s="10"/>
      <c r="I56" s="10"/>
      <c r="J56" s="10"/>
      <c r="K56" s="10"/>
      <c r="L56" s="36"/>
      <c r="M56" s="10"/>
      <c r="N56" s="20" t="s">
        <v>186</v>
      </c>
      <c r="O56" s="21" t="s">
        <v>248</v>
      </c>
      <c r="P56" s="22"/>
      <c r="Q56" s="23">
        <v>1000.0</v>
      </c>
      <c r="R56" s="10"/>
      <c r="S56" s="10"/>
      <c r="T56" s="10"/>
    </row>
    <row r="57">
      <c r="A57" s="34"/>
      <c r="B57" s="10"/>
      <c r="C57" s="10"/>
      <c r="D57" s="67"/>
      <c r="E57" s="10"/>
      <c r="F57" s="10"/>
      <c r="G57" s="10"/>
      <c r="H57" s="10"/>
      <c r="I57" s="10"/>
      <c r="J57" s="10"/>
      <c r="K57" s="36"/>
      <c r="L57" s="10"/>
      <c r="M57" s="10"/>
      <c r="N57" s="20" t="s">
        <v>221</v>
      </c>
      <c r="O57" s="21" t="s">
        <v>249</v>
      </c>
      <c r="P57" s="52">
        <v>2000.0</v>
      </c>
      <c r="Q57" s="23"/>
      <c r="R57" s="10"/>
      <c r="S57" s="10"/>
      <c r="T57" s="10"/>
    </row>
    <row r="58">
      <c r="A58" s="34"/>
      <c r="B58" s="10"/>
      <c r="C58" s="10"/>
      <c r="D58" s="67"/>
      <c r="E58" s="10"/>
      <c r="F58" s="10"/>
      <c r="G58" s="10"/>
      <c r="H58" s="10"/>
      <c r="I58" s="10"/>
      <c r="J58" s="10"/>
      <c r="K58" s="10"/>
      <c r="L58" s="36"/>
      <c r="M58" s="10"/>
      <c r="N58" s="30" t="s">
        <v>214</v>
      </c>
      <c r="O58" s="31" t="s">
        <v>250</v>
      </c>
      <c r="P58" s="52">
        <v>328.0</v>
      </c>
      <c r="Q58" s="23"/>
      <c r="R58" s="10"/>
      <c r="S58" s="10"/>
      <c r="T58" s="10"/>
    </row>
    <row r="59">
      <c r="A59" s="34"/>
      <c r="B59" s="10"/>
      <c r="C59" s="10"/>
      <c r="D59" s="67"/>
      <c r="E59" s="10"/>
      <c r="F59" s="10"/>
      <c r="G59" s="10"/>
      <c r="H59" s="10"/>
      <c r="I59" s="10"/>
      <c r="J59" s="10"/>
      <c r="K59" s="10"/>
      <c r="L59" s="36"/>
      <c r="M59" s="10"/>
      <c r="N59" s="30" t="s">
        <v>85</v>
      </c>
      <c r="O59" s="31" t="s">
        <v>250</v>
      </c>
      <c r="P59" s="52">
        <v>382.0</v>
      </c>
      <c r="Q59" s="23"/>
      <c r="R59" s="10"/>
      <c r="S59" s="10"/>
      <c r="T59" s="10"/>
    </row>
    <row r="60">
      <c r="A60" s="94" t="s">
        <v>161</v>
      </c>
      <c r="D60" s="95"/>
      <c r="K60" s="1"/>
      <c r="L60" s="56"/>
      <c r="M60" s="10"/>
      <c r="N60" s="30" t="s">
        <v>251</v>
      </c>
      <c r="O60" s="31" t="s">
        <v>164</v>
      </c>
      <c r="P60" s="52">
        <v>315.0</v>
      </c>
      <c r="Q60" s="23"/>
      <c r="R60" s="10"/>
      <c r="S60" s="10"/>
    </row>
    <row r="61">
      <c r="A61" s="94" t="s">
        <v>162</v>
      </c>
      <c r="B61" s="1">
        <v>1800.0</v>
      </c>
      <c r="D61" s="95"/>
      <c r="K61" s="1"/>
      <c r="L61" s="56"/>
      <c r="M61" s="10"/>
      <c r="N61" s="30" t="s">
        <v>252</v>
      </c>
      <c r="O61" s="31" t="s">
        <v>253</v>
      </c>
      <c r="P61" s="52">
        <v>90.0</v>
      </c>
      <c r="Q61" s="23"/>
      <c r="R61" s="10"/>
      <c r="S61" s="10"/>
    </row>
    <row r="62">
      <c r="A62" s="94" t="s">
        <v>164</v>
      </c>
      <c r="B62" s="1">
        <v>200.0</v>
      </c>
      <c r="D62" s="95"/>
      <c r="K62" s="1"/>
      <c r="L62" s="56"/>
      <c r="M62" s="10"/>
      <c r="N62" s="30" t="s">
        <v>254</v>
      </c>
      <c r="O62" s="31" t="s">
        <v>255</v>
      </c>
      <c r="P62" s="52">
        <v>338.0</v>
      </c>
      <c r="Q62" s="23"/>
      <c r="R62" s="10"/>
      <c r="S62" s="10"/>
    </row>
    <row r="63">
      <c r="A63" s="94" t="s">
        <v>166</v>
      </c>
      <c r="B63" s="1">
        <v>900.0</v>
      </c>
      <c r="D63" s="95"/>
      <c r="L63" s="50"/>
      <c r="M63" s="10"/>
      <c r="N63" s="30" t="s">
        <v>218</v>
      </c>
      <c r="O63" s="31" t="s">
        <v>256</v>
      </c>
      <c r="P63" s="52">
        <v>1565.0</v>
      </c>
      <c r="Q63" s="23"/>
      <c r="R63" s="10"/>
      <c r="S63" s="10"/>
    </row>
    <row r="64">
      <c r="A64" s="94" t="s">
        <v>116</v>
      </c>
      <c r="B64" s="1">
        <v>500.0</v>
      </c>
      <c r="D64" s="95"/>
      <c r="L64" s="50"/>
      <c r="M64" s="10"/>
      <c r="N64" s="30" t="s">
        <v>251</v>
      </c>
      <c r="O64" s="31" t="s">
        <v>164</v>
      </c>
      <c r="P64" s="52">
        <v>290.0</v>
      </c>
      <c r="Q64" s="23"/>
      <c r="R64" s="10"/>
      <c r="S64" s="10"/>
    </row>
    <row r="65">
      <c r="A65" s="94" t="s">
        <v>169</v>
      </c>
      <c r="B65" s="1">
        <v>75.0</v>
      </c>
      <c r="D65" s="95"/>
      <c r="L65" s="50"/>
      <c r="M65" s="10"/>
      <c r="N65" s="30" t="s">
        <v>177</v>
      </c>
      <c r="O65" s="31" t="s">
        <v>177</v>
      </c>
      <c r="P65" s="52">
        <v>270.0</v>
      </c>
      <c r="Q65" s="23"/>
      <c r="R65" s="10"/>
      <c r="S65" s="10"/>
    </row>
    <row r="66">
      <c r="A66" s="94" t="s">
        <v>171</v>
      </c>
      <c r="B66" s="1">
        <v>30.0</v>
      </c>
      <c r="D66" s="95"/>
      <c r="L66" s="50"/>
      <c r="M66" s="10"/>
      <c r="N66" s="30" t="s">
        <v>117</v>
      </c>
      <c r="O66" s="31" t="s">
        <v>257</v>
      </c>
      <c r="P66" s="52">
        <v>290.0</v>
      </c>
      <c r="Q66" s="23"/>
      <c r="R66" s="10"/>
      <c r="S66" s="10"/>
    </row>
    <row r="67">
      <c r="A67" s="94" t="s">
        <v>172</v>
      </c>
      <c r="B67" s="1">
        <v>100.0</v>
      </c>
      <c r="D67" s="95"/>
      <c r="L67" s="50"/>
      <c r="M67" s="10"/>
      <c r="N67" s="30" t="s">
        <v>117</v>
      </c>
      <c r="O67" s="31" t="s">
        <v>258</v>
      </c>
      <c r="P67" s="52">
        <v>600.0</v>
      </c>
      <c r="Q67" s="23"/>
      <c r="R67" s="10"/>
      <c r="S67" s="10"/>
    </row>
    <row r="68">
      <c r="A68" s="98"/>
      <c r="B68" s="5">
        <f>SUM(B61:B67)</f>
        <v>3605</v>
      </c>
      <c r="D68" s="95"/>
      <c r="L68" s="50"/>
      <c r="M68" s="10"/>
      <c r="N68" s="30"/>
      <c r="O68" s="31"/>
      <c r="P68" s="52"/>
      <c r="Q68" s="23"/>
      <c r="R68" s="10"/>
      <c r="S68" s="10"/>
    </row>
    <row r="69">
      <c r="A69" s="98"/>
      <c r="D69" s="95"/>
      <c r="L69" s="50"/>
      <c r="M69" s="10"/>
      <c r="N69" s="30"/>
      <c r="O69" s="31"/>
      <c r="P69" s="52"/>
      <c r="Q69" s="23"/>
      <c r="R69" s="10"/>
      <c r="S69" s="10"/>
    </row>
    <row r="70">
      <c r="A70" s="98"/>
      <c r="D70" s="95"/>
      <c r="L70" s="50"/>
      <c r="M70" s="10"/>
      <c r="N70" s="30"/>
      <c r="O70" s="31"/>
      <c r="P70" s="52"/>
      <c r="Q70" s="23"/>
      <c r="R70" s="10"/>
      <c r="S70" s="10"/>
    </row>
    <row r="71">
      <c r="A71" s="98"/>
      <c r="D71" s="95"/>
      <c r="L71" s="50"/>
      <c r="M71" s="10"/>
      <c r="N71" s="30"/>
      <c r="O71" s="31"/>
      <c r="P71" s="52"/>
      <c r="Q71" s="23"/>
      <c r="R71" s="10"/>
      <c r="S71" s="10"/>
    </row>
    <row r="72">
      <c r="A72" s="98"/>
      <c r="D72" s="95"/>
      <c r="L72" s="50"/>
      <c r="M72" s="10"/>
      <c r="N72" s="30"/>
      <c r="O72" s="31"/>
      <c r="P72" s="52"/>
      <c r="Q72" s="23"/>
      <c r="R72" s="10"/>
      <c r="S72" s="10"/>
    </row>
    <row r="73">
      <c r="A73" s="98"/>
      <c r="D73" s="95"/>
      <c r="L73" s="50"/>
      <c r="M73" s="10"/>
      <c r="N73" s="30"/>
      <c r="O73" s="31"/>
      <c r="P73" s="52"/>
      <c r="Q73" s="23"/>
      <c r="R73" s="10"/>
      <c r="S73" s="10"/>
    </row>
    <row r="74">
      <c r="A74" s="98"/>
      <c r="D74" s="95"/>
      <c r="L74" s="50"/>
      <c r="M74" s="10"/>
      <c r="N74" s="30"/>
      <c r="O74" s="31"/>
      <c r="P74" s="52"/>
      <c r="Q74" s="23"/>
      <c r="R74" s="10"/>
      <c r="S74" s="10"/>
    </row>
    <row r="75">
      <c r="A75" s="98"/>
      <c r="D75" s="95"/>
      <c r="L75" s="50"/>
      <c r="M75" s="10"/>
      <c r="N75" s="30"/>
      <c r="O75" s="31"/>
      <c r="P75" s="52"/>
      <c r="Q75" s="23"/>
      <c r="R75" s="10"/>
      <c r="S75" s="10"/>
    </row>
    <row r="76">
      <c r="A76" s="98"/>
      <c r="D76" s="95"/>
      <c r="L76" s="50"/>
      <c r="M76" s="10"/>
      <c r="N76" s="30"/>
      <c r="O76" s="31"/>
      <c r="P76" s="52"/>
      <c r="Q76" s="23"/>
      <c r="R76" s="10"/>
      <c r="S76" s="10"/>
    </row>
    <row r="77">
      <c r="A77" s="98"/>
      <c r="D77" s="95"/>
      <c r="L77" s="50"/>
      <c r="M77" s="10"/>
      <c r="N77" s="30"/>
      <c r="O77" s="31"/>
      <c r="P77" s="52"/>
      <c r="Q77" s="23"/>
      <c r="R77" s="10"/>
      <c r="S77" s="10"/>
    </row>
    <row r="78">
      <c r="A78" s="98"/>
      <c r="D78" s="95"/>
      <c r="L78" s="50"/>
      <c r="M78" s="10"/>
      <c r="N78" s="30"/>
      <c r="O78" s="31"/>
      <c r="P78" s="52"/>
      <c r="Q78" s="23"/>
      <c r="R78" s="10"/>
      <c r="S78" s="10"/>
    </row>
    <row r="79">
      <c r="A79" s="98"/>
      <c r="D79" s="95"/>
      <c r="L79" s="50"/>
      <c r="M79" s="10"/>
      <c r="N79" s="30"/>
      <c r="O79" s="31"/>
      <c r="P79" s="52"/>
      <c r="Q79" s="23"/>
      <c r="R79" s="10"/>
      <c r="S79" s="10"/>
    </row>
    <row r="80">
      <c r="A80" s="98"/>
      <c r="D80" s="95"/>
      <c r="L80" s="50"/>
      <c r="M80" s="10"/>
      <c r="N80" s="30"/>
      <c r="O80" s="31"/>
      <c r="P80" s="52"/>
      <c r="Q80" s="23"/>
      <c r="R80" s="10"/>
      <c r="S80" s="10"/>
    </row>
    <row r="81">
      <c r="A81" s="98"/>
      <c r="D81" s="95"/>
      <c r="L81" s="50"/>
      <c r="M81" s="10"/>
      <c r="N81" s="30"/>
      <c r="O81" s="31"/>
      <c r="P81" s="52"/>
      <c r="Q81" s="23"/>
      <c r="R81" s="10"/>
      <c r="S81" s="10"/>
    </row>
    <row r="82">
      <c r="A82" s="98"/>
      <c r="D82" s="95"/>
      <c r="L82" s="50"/>
      <c r="M82" s="10"/>
      <c r="N82" s="30"/>
      <c r="O82" s="31"/>
      <c r="P82" s="52"/>
      <c r="Q82" s="23"/>
      <c r="R82" s="10"/>
      <c r="S82" s="10"/>
    </row>
    <row r="83">
      <c r="A83" s="98"/>
      <c r="D83" s="95"/>
      <c r="L83" s="50"/>
      <c r="M83" s="10"/>
      <c r="N83" s="30"/>
      <c r="O83" s="31"/>
      <c r="P83" s="52"/>
      <c r="Q83" s="23"/>
      <c r="R83" s="10"/>
      <c r="S83" s="10"/>
    </row>
    <row r="84">
      <c r="A84" s="98"/>
      <c r="D84" s="95"/>
      <c r="L84" s="50"/>
      <c r="M84" s="10"/>
      <c r="N84" s="20"/>
      <c r="O84" s="21"/>
      <c r="P84" s="22"/>
      <c r="Q84" s="23"/>
      <c r="R84" s="10"/>
      <c r="S84" s="10"/>
    </row>
    <row r="85">
      <c r="A85" s="98"/>
      <c r="D85" s="95"/>
      <c r="L85" s="50"/>
      <c r="M85" s="10"/>
      <c r="N85" s="20"/>
      <c r="O85" s="21"/>
      <c r="P85" s="22"/>
      <c r="Q85" s="23"/>
      <c r="R85" s="10"/>
      <c r="S85" s="10"/>
    </row>
    <row r="86">
      <c r="A86" s="98"/>
      <c r="D86" s="95"/>
      <c r="L86" s="50"/>
      <c r="M86" s="10"/>
      <c r="N86" s="60"/>
      <c r="O86" s="59"/>
      <c r="P86" s="60"/>
      <c r="Q86" s="105"/>
      <c r="R86" s="10"/>
      <c r="S86" s="10"/>
    </row>
    <row r="87">
      <c r="A87" s="98"/>
      <c r="D87" s="95"/>
      <c r="L87" s="50"/>
      <c r="M87" s="10"/>
      <c r="N87" s="60"/>
      <c r="O87" s="59"/>
      <c r="P87" s="60"/>
      <c r="Q87" s="105"/>
      <c r="R87" s="10"/>
      <c r="S87" s="10"/>
    </row>
    <row r="88">
      <c r="A88" s="98"/>
      <c r="D88" s="95"/>
      <c r="L88" s="50"/>
      <c r="M88" s="10"/>
      <c r="N88" s="60"/>
      <c r="O88" s="59"/>
      <c r="P88" s="60"/>
      <c r="Q88" s="105"/>
      <c r="R88" s="10"/>
      <c r="S88" s="10"/>
    </row>
    <row r="89">
      <c r="A89" s="98"/>
      <c r="D89" s="95"/>
      <c r="L89" s="50"/>
      <c r="M89" s="10"/>
      <c r="N89" s="60"/>
      <c r="O89" s="59"/>
      <c r="P89" s="60"/>
      <c r="Q89" s="105"/>
      <c r="R89" s="10"/>
      <c r="S89" s="10"/>
    </row>
    <row r="90">
      <c r="A90" s="98"/>
      <c r="D90" s="95"/>
      <c r="L90" s="50"/>
      <c r="M90" s="10"/>
      <c r="N90" s="60"/>
      <c r="O90" s="59"/>
      <c r="P90" s="60"/>
      <c r="Q90" s="105"/>
      <c r="R90" s="10"/>
      <c r="S90" s="10"/>
    </row>
    <row r="91">
      <c r="A91" s="98"/>
      <c r="D91" s="95"/>
      <c r="L91" s="50"/>
      <c r="M91" s="10"/>
      <c r="N91" s="60"/>
      <c r="O91" s="59"/>
      <c r="P91" s="60"/>
      <c r="Q91" s="105"/>
      <c r="R91" s="10"/>
      <c r="S91" s="10"/>
    </row>
    <row r="92">
      <c r="A92" s="98"/>
      <c r="D92" s="95"/>
      <c r="L92" s="50"/>
      <c r="M92" s="10"/>
      <c r="N92" s="60"/>
      <c r="O92" s="59"/>
      <c r="P92" s="60"/>
      <c r="Q92" s="105"/>
      <c r="R92" s="10"/>
      <c r="S92" s="10"/>
    </row>
    <row r="93">
      <c r="A93" s="98"/>
      <c r="D93" s="95"/>
      <c r="L93" s="50"/>
      <c r="M93" s="10"/>
      <c r="N93" s="60"/>
      <c r="O93" s="59"/>
      <c r="P93" s="60"/>
      <c r="Q93" s="105"/>
      <c r="R93" s="10"/>
      <c r="S93" s="10"/>
    </row>
    <row r="94">
      <c r="A94" s="98"/>
      <c r="D94" s="95"/>
      <c r="L94" s="50"/>
      <c r="M94" s="10"/>
      <c r="N94" s="60"/>
      <c r="O94" s="59"/>
      <c r="P94" s="60"/>
      <c r="Q94" s="105"/>
      <c r="R94" s="10"/>
      <c r="S94" s="10"/>
    </row>
    <row r="95">
      <c r="A95" s="98"/>
      <c r="D95" s="95"/>
      <c r="L95" s="50"/>
      <c r="M95" s="10"/>
      <c r="N95" s="60"/>
      <c r="O95" s="59"/>
      <c r="P95" s="60"/>
      <c r="Q95" s="105"/>
      <c r="R95" s="10"/>
      <c r="S95" s="10"/>
    </row>
    <row r="96">
      <c r="A96" s="98"/>
      <c r="D96" s="95"/>
      <c r="L96" s="50"/>
      <c r="M96" s="10"/>
      <c r="N96" s="60"/>
      <c r="O96" s="59"/>
      <c r="P96" s="60"/>
      <c r="Q96" s="105"/>
      <c r="R96" s="10"/>
      <c r="S96" s="10"/>
    </row>
    <row r="97">
      <c r="A97" s="98"/>
      <c r="D97" s="95"/>
      <c r="L97" s="50"/>
      <c r="M97" s="10"/>
      <c r="N97" s="60"/>
      <c r="O97" s="59"/>
      <c r="P97" s="60"/>
      <c r="Q97" s="105"/>
      <c r="R97" s="10"/>
      <c r="S97" s="10"/>
    </row>
    <row r="98">
      <c r="A98" s="98"/>
      <c r="D98" s="95"/>
      <c r="L98" s="50"/>
      <c r="M98" s="10"/>
      <c r="N98" s="60"/>
      <c r="O98" s="59"/>
      <c r="P98" s="60"/>
      <c r="Q98" s="105"/>
      <c r="R98" s="10"/>
      <c r="S98" s="10"/>
    </row>
    <row r="99">
      <c r="A99" s="98"/>
      <c r="D99" s="95"/>
      <c r="L99" s="50"/>
      <c r="M99" s="10"/>
      <c r="N99" s="60"/>
      <c r="O99" s="59"/>
      <c r="P99" s="60"/>
      <c r="Q99" s="105"/>
      <c r="R99" s="10"/>
      <c r="S99" s="10"/>
    </row>
    <row r="100">
      <c r="A100" s="98"/>
      <c r="D100" s="95"/>
      <c r="L100" s="50"/>
      <c r="M100" s="10"/>
      <c r="N100" s="60"/>
      <c r="O100" s="59"/>
      <c r="P100" s="60"/>
      <c r="Q100" s="105"/>
      <c r="R100" s="10"/>
      <c r="S100" s="10"/>
    </row>
    <row r="101">
      <c r="A101" s="98"/>
      <c r="D101" s="95"/>
      <c r="L101" s="50"/>
      <c r="M101" s="10"/>
      <c r="N101" s="60"/>
      <c r="O101" s="59"/>
      <c r="P101" s="60"/>
      <c r="Q101" s="105"/>
      <c r="R101" s="10"/>
      <c r="S101" s="10"/>
    </row>
    <row r="102">
      <c r="A102" s="98"/>
      <c r="D102" s="95"/>
      <c r="L102" s="50"/>
      <c r="M102" s="10"/>
      <c r="N102" s="60"/>
      <c r="O102" s="59"/>
      <c r="P102" s="60"/>
      <c r="Q102" s="105"/>
      <c r="R102" s="10"/>
      <c r="S102" s="10"/>
    </row>
    <row r="103">
      <c r="A103" s="98"/>
      <c r="D103" s="95"/>
      <c r="L103" s="50"/>
      <c r="M103" s="10"/>
      <c r="N103" s="60"/>
      <c r="O103" s="59"/>
      <c r="P103" s="60"/>
      <c r="Q103" s="105"/>
      <c r="R103" s="10"/>
      <c r="S103" s="10"/>
    </row>
    <row r="104">
      <c r="A104" s="98"/>
      <c r="D104" s="95"/>
      <c r="L104" s="50"/>
      <c r="M104" s="10"/>
      <c r="N104" s="60"/>
      <c r="O104" s="59"/>
      <c r="P104" s="60"/>
      <c r="Q104" s="105"/>
      <c r="R104" s="10"/>
      <c r="S104" s="10"/>
    </row>
    <row r="105">
      <c r="A105" s="98"/>
      <c r="D105" s="95"/>
      <c r="L105" s="50"/>
      <c r="M105" s="10"/>
      <c r="N105" s="60"/>
      <c r="O105" s="59"/>
      <c r="P105" s="60"/>
      <c r="Q105" s="105"/>
      <c r="R105" s="10"/>
      <c r="S105" s="10"/>
    </row>
    <row r="106">
      <c r="A106" s="98"/>
      <c r="D106" s="95"/>
      <c r="L106" s="50"/>
      <c r="M106" s="10"/>
      <c r="N106" s="60"/>
      <c r="O106" s="59"/>
      <c r="P106" s="60"/>
      <c r="Q106" s="105"/>
      <c r="R106" s="10"/>
      <c r="S106" s="10"/>
    </row>
    <row r="107">
      <c r="A107" s="98"/>
      <c r="D107" s="95"/>
      <c r="L107" s="50"/>
      <c r="M107" s="10"/>
      <c r="N107" s="60"/>
      <c r="O107" s="59"/>
      <c r="P107" s="60"/>
      <c r="Q107" s="105"/>
      <c r="R107" s="10"/>
      <c r="S107" s="10"/>
    </row>
    <row r="108">
      <c r="A108" s="98"/>
      <c r="D108" s="95"/>
      <c r="L108" s="50"/>
      <c r="M108" s="10"/>
      <c r="N108" s="60"/>
      <c r="O108" s="59"/>
      <c r="P108" s="60"/>
      <c r="Q108" s="105"/>
      <c r="R108" s="10"/>
      <c r="S108" s="10"/>
    </row>
    <row r="109">
      <c r="A109" s="98"/>
      <c r="D109" s="95"/>
      <c r="L109" s="50"/>
      <c r="M109" s="10"/>
      <c r="N109" s="60"/>
      <c r="O109" s="59"/>
      <c r="P109" s="60"/>
      <c r="Q109" s="105"/>
      <c r="R109" s="10"/>
      <c r="S109" s="10"/>
    </row>
    <row r="110">
      <c r="A110" s="98"/>
      <c r="D110" s="95"/>
      <c r="L110" s="50"/>
      <c r="M110" s="10"/>
      <c r="N110" s="60"/>
      <c r="O110" s="59"/>
      <c r="P110" s="60"/>
      <c r="Q110" s="105"/>
      <c r="R110" s="10"/>
      <c r="S110" s="10"/>
    </row>
    <row r="111">
      <c r="A111" s="98"/>
      <c r="D111" s="95"/>
      <c r="L111" s="50"/>
      <c r="M111" s="10"/>
      <c r="N111" s="60"/>
      <c r="O111" s="59"/>
      <c r="P111" s="60"/>
      <c r="Q111" s="105"/>
      <c r="R111" s="10"/>
      <c r="S111" s="10"/>
    </row>
    <row r="112">
      <c r="A112" s="98"/>
      <c r="D112" s="95"/>
      <c r="L112" s="50"/>
      <c r="M112" s="10"/>
      <c r="N112" s="60"/>
      <c r="O112" s="59"/>
      <c r="P112" s="60"/>
      <c r="Q112" s="105"/>
      <c r="R112" s="10"/>
      <c r="S112" s="10"/>
    </row>
    <row r="113">
      <c r="A113" s="98"/>
      <c r="D113" s="95"/>
      <c r="L113" s="50"/>
      <c r="M113" s="10"/>
      <c r="N113" s="60"/>
      <c r="O113" s="59"/>
      <c r="P113" s="60"/>
      <c r="Q113" s="105"/>
      <c r="R113" s="10"/>
      <c r="S113" s="10"/>
    </row>
    <row r="114">
      <c r="A114" s="98"/>
      <c r="D114" s="95"/>
      <c r="L114" s="50"/>
      <c r="M114" s="10"/>
      <c r="N114" s="60"/>
      <c r="O114" s="59"/>
      <c r="P114" s="60"/>
      <c r="Q114" s="105"/>
      <c r="R114" s="10"/>
      <c r="S114" s="10"/>
    </row>
    <row r="115">
      <c r="A115" s="98"/>
      <c r="D115" s="95"/>
      <c r="L115" s="50"/>
      <c r="M115" s="10"/>
      <c r="N115" s="60"/>
      <c r="O115" s="59"/>
      <c r="P115" s="60"/>
      <c r="Q115" s="105"/>
      <c r="R115" s="10"/>
      <c r="S115" s="10"/>
    </row>
    <row r="116">
      <c r="A116" s="98"/>
      <c r="D116" s="95"/>
      <c r="L116" s="50"/>
      <c r="M116" s="10"/>
      <c r="N116" s="60"/>
      <c r="O116" s="59"/>
      <c r="P116" s="60"/>
      <c r="Q116" s="105"/>
      <c r="R116" s="10"/>
      <c r="S116" s="10"/>
    </row>
    <row r="117">
      <c r="A117" s="98"/>
      <c r="D117" s="95"/>
      <c r="L117" s="50"/>
      <c r="M117" s="10"/>
      <c r="N117" s="60"/>
      <c r="O117" s="59"/>
      <c r="P117" s="60"/>
      <c r="Q117" s="105"/>
      <c r="R117" s="10"/>
      <c r="S117" s="10"/>
    </row>
    <row r="118">
      <c r="A118" s="98"/>
      <c r="D118" s="95"/>
      <c r="L118" s="50"/>
      <c r="M118" s="10"/>
      <c r="N118" s="60"/>
      <c r="O118" s="59"/>
      <c r="P118" s="60"/>
      <c r="Q118" s="105"/>
      <c r="R118" s="10"/>
      <c r="S118" s="10"/>
    </row>
    <row r="119">
      <c r="A119" s="98"/>
      <c r="D119" s="95"/>
      <c r="L119" s="50"/>
      <c r="M119" s="10"/>
      <c r="N119" s="60"/>
      <c r="O119" s="59"/>
      <c r="P119" s="60"/>
      <c r="Q119" s="105"/>
      <c r="R119" s="10"/>
      <c r="S119" s="10"/>
    </row>
    <row r="120">
      <c r="A120" s="98"/>
      <c r="D120" s="95"/>
      <c r="L120" s="50"/>
      <c r="M120" s="10"/>
      <c r="N120" s="60"/>
      <c r="O120" s="59"/>
      <c r="P120" s="60"/>
      <c r="Q120" s="105"/>
      <c r="R120" s="10"/>
      <c r="S120" s="10"/>
    </row>
    <row r="121">
      <c r="A121" s="98"/>
      <c r="D121" s="95"/>
      <c r="L121" s="50"/>
      <c r="M121" s="10"/>
      <c r="N121" s="60"/>
      <c r="O121" s="59"/>
      <c r="P121" s="60"/>
      <c r="Q121" s="105"/>
      <c r="R121" s="10"/>
      <c r="S121" s="10"/>
    </row>
    <row r="122">
      <c r="A122" s="98"/>
      <c r="D122" s="95"/>
      <c r="L122" s="50"/>
      <c r="M122" s="10"/>
      <c r="N122" s="60"/>
      <c r="O122" s="59"/>
      <c r="P122" s="60"/>
      <c r="Q122" s="105"/>
      <c r="R122" s="10"/>
      <c r="S122" s="10"/>
    </row>
    <row r="123">
      <c r="A123" s="98"/>
      <c r="D123" s="95"/>
      <c r="L123" s="50"/>
      <c r="M123" s="10"/>
      <c r="N123" s="60"/>
      <c r="O123" s="59"/>
      <c r="P123" s="60"/>
      <c r="Q123" s="105"/>
      <c r="R123" s="10"/>
      <c r="S123" s="10"/>
    </row>
    <row r="124">
      <c r="A124" s="98"/>
      <c r="D124" s="95"/>
      <c r="L124" s="50"/>
      <c r="M124" s="10"/>
      <c r="N124" s="60"/>
      <c r="O124" s="59"/>
      <c r="P124" s="60"/>
      <c r="Q124" s="105"/>
      <c r="R124" s="10"/>
      <c r="S124" s="10"/>
    </row>
    <row r="125">
      <c r="A125" s="98"/>
      <c r="D125" s="95"/>
      <c r="L125" s="50"/>
      <c r="M125" s="10"/>
      <c r="N125" s="60"/>
      <c r="O125" s="59"/>
      <c r="P125" s="60"/>
      <c r="Q125" s="105"/>
      <c r="R125" s="10"/>
      <c r="S125" s="10"/>
    </row>
    <row r="126">
      <c r="A126" s="98"/>
      <c r="D126" s="95"/>
      <c r="L126" s="50"/>
      <c r="M126" s="10"/>
      <c r="N126" s="60"/>
      <c r="O126" s="59"/>
      <c r="P126" s="60"/>
      <c r="Q126" s="105"/>
      <c r="R126" s="10"/>
      <c r="S126" s="10"/>
    </row>
    <row r="127">
      <c r="A127" s="98"/>
      <c r="D127" s="95"/>
      <c r="L127" s="50"/>
      <c r="M127" s="10"/>
      <c r="N127" s="60"/>
      <c r="O127" s="59"/>
      <c r="P127" s="60"/>
      <c r="Q127" s="105"/>
      <c r="R127" s="10"/>
      <c r="S127" s="10"/>
    </row>
    <row r="128">
      <c r="A128" s="98"/>
      <c r="D128" s="95"/>
      <c r="L128" s="50"/>
      <c r="M128" s="10"/>
      <c r="N128" s="60"/>
      <c r="O128" s="59"/>
      <c r="P128" s="60"/>
      <c r="Q128" s="105"/>
      <c r="R128" s="10"/>
      <c r="S128" s="10"/>
    </row>
    <row r="129">
      <c r="A129" s="98"/>
      <c r="D129" s="95"/>
      <c r="L129" s="50"/>
      <c r="M129" s="10"/>
      <c r="N129" s="10"/>
      <c r="O129" s="10"/>
      <c r="P129" s="10"/>
      <c r="Q129" s="10"/>
      <c r="R129" s="10"/>
      <c r="S129" s="10"/>
    </row>
    <row r="130">
      <c r="A130" s="98"/>
      <c r="D130" s="95"/>
      <c r="L130" s="50"/>
      <c r="O130" s="98"/>
      <c r="Q130" s="95"/>
    </row>
    <row r="131">
      <c r="A131" s="98"/>
      <c r="D131" s="95"/>
      <c r="L131" s="50"/>
      <c r="O131" s="98"/>
      <c r="Q131" s="95"/>
    </row>
    <row r="132">
      <c r="A132" s="98"/>
      <c r="D132" s="95"/>
      <c r="L132" s="50"/>
      <c r="O132" s="98"/>
      <c r="Q132" s="95"/>
    </row>
    <row r="133">
      <c r="A133" s="98"/>
      <c r="D133" s="95"/>
      <c r="L133" s="50"/>
      <c r="O133" s="98"/>
      <c r="Q133" s="95"/>
    </row>
    <row r="134">
      <c r="A134" s="98"/>
      <c r="D134" s="95"/>
      <c r="L134" s="50"/>
      <c r="O134" s="98"/>
      <c r="Q134" s="95"/>
    </row>
    <row r="135">
      <c r="A135" s="98"/>
      <c r="D135" s="95"/>
      <c r="L135" s="50"/>
      <c r="O135" s="98"/>
      <c r="Q135" s="95"/>
    </row>
    <row r="136">
      <c r="A136" s="98"/>
      <c r="D136" s="95"/>
      <c r="L136" s="50"/>
      <c r="O136" s="98"/>
      <c r="Q136" s="95"/>
    </row>
    <row r="137">
      <c r="A137" s="98"/>
      <c r="D137" s="95"/>
      <c r="L137" s="50"/>
      <c r="O137" s="98"/>
      <c r="Q137" s="95"/>
    </row>
    <row r="138">
      <c r="A138" s="98"/>
      <c r="D138" s="95"/>
      <c r="L138" s="50"/>
      <c r="O138" s="98"/>
      <c r="Q138" s="95"/>
    </row>
    <row r="139">
      <c r="A139" s="98"/>
      <c r="D139" s="95"/>
      <c r="L139" s="50"/>
      <c r="O139" s="98"/>
      <c r="Q139" s="95"/>
    </row>
    <row r="140">
      <c r="A140" s="98"/>
      <c r="D140" s="95"/>
      <c r="L140" s="50"/>
      <c r="O140" s="98"/>
      <c r="Q140" s="95"/>
    </row>
    <row r="141">
      <c r="A141" s="98"/>
      <c r="D141" s="95"/>
      <c r="L141" s="50"/>
      <c r="O141" s="98"/>
      <c r="Q141" s="95"/>
    </row>
    <row r="142">
      <c r="A142" s="98"/>
      <c r="D142" s="95"/>
      <c r="L142" s="50"/>
      <c r="O142" s="98"/>
      <c r="Q142" s="95"/>
    </row>
    <row r="143">
      <c r="A143" s="98"/>
      <c r="D143" s="95"/>
      <c r="L143" s="50"/>
      <c r="O143" s="98"/>
      <c r="Q143" s="95"/>
    </row>
    <row r="144">
      <c r="A144" s="98"/>
      <c r="D144" s="95"/>
      <c r="L144" s="50"/>
      <c r="O144" s="98"/>
      <c r="Q144" s="95"/>
    </row>
    <row r="145">
      <c r="A145" s="98"/>
      <c r="D145" s="95"/>
      <c r="L145" s="50"/>
      <c r="O145" s="98"/>
      <c r="Q145" s="95"/>
    </row>
    <row r="146">
      <c r="A146" s="98"/>
      <c r="D146" s="95"/>
      <c r="L146" s="50"/>
      <c r="O146" s="98"/>
      <c r="Q146" s="95"/>
    </row>
    <row r="147">
      <c r="A147" s="98"/>
      <c r="D147" s="95"/>
      <c r="L147" s="50"/>
      <c r="O147" s="98"/>
      <c r="Q147" s="95"/>
    </row>
    <row r="148">
      <c r="A148" s="98"/>
      <c r="D148" s="95"/>
      <c r="L148" s="50"/>
      <c r="O148" s="98"/>
      <c r="Q148" s="95"/>
    </row>
    <row r="149">
      <c r="A149" s="98"/>
      <c r="D149" s="95"/>
      <c r="L149" s="50"/>
      <c r="O149" s="98"/>
      <c r="Q149" s="95"/>
    </row>
    <row r="150">
      <c r="A150" s="98"/>
      <c r="D150" s="95"/>
      <c r="L150" s="50"/>
      <c r="O150" s="98"/>
      <c r="Q150" s="95"/>
    </row>
    <row r="151">
      <c r="A151" s="98"/>
      <c r="D151" s="95"/>
      <c r="L151" s="50"/>
      <c r="O151" s="98"/>
      <c r="Q151" s="95"/>
    </row>
    <row r="152">
      <c r="A152" s="98"/>
      <c r="D152" s="95"/>
      <c r="L152" s="50"/>
      <c r="O152" s="98"/>
      <c r="Q152" s="95"/>
    </row>
    <row r="153">
      <c r="A153" s="98"/>
      <c r="D153" s="95"/>
      <c r="L153" s="50"/>
      <c r="O153" s="98"/>
      <c r="Q153" s="95"/>
    </row>
    <row r="154">
      <c r="A154" s="98"/>
      <c r="D154" s="95"/>
      <c r="L154" s="50"/>
      <c r="O154" s="98"/>
      <c r="Q154" s="95"/>
    </row>
    <row r="155">
      <c r="A155" s="98"/>
      <c r="D155" s="95"/>
      <c r="L155" s="50"/>
      <c r="O155" s="98"/>
      <c r="Q155" s="95"/>
    </row>
    <row r="156">
      <c r="A156" s="98"/>
      <c r="D156" s="95"/>
      <c r="L156" s="50"/>
      <c r="O156" s="98"/>
      <c r="Q156" s="95"/>
    </row>
    <row r="157">
      <c r="A157" s="98"/>
      <c r="D157" s="95"/>
      <c r="L157" s="50"/>
      <c r="O157" s="98"/>
      <c r="Q157" s="95"/>
    </row>
    <row r="158">
      <c r="A158" s="98"/>
      <c r="D158" s="95"/>
      <c r="L158" s="50"/>
      <c r="O158" s="98"/>
      <c r="Q158" s="95"/>
    </row>
    <row r="159">
      <c r="A159" s="98"/>
      <c r="D159" s="95"/>
      <c r="L159" s="50"/>
      <c r="O159" s="98"/>
      <c r="Q159" s="95"/>
    </row>
    <row r="160">
      <c r="A160" s="98"/>
      <c r="D160" s="95"/>
      <c r="L160" s="50"/>
      <c r="O160" s="98"/>
      <c r="Q160" s="95"/>
    </row>
    <row r="161">
      <c r="A161" s="98"/>
      <c r="D161" s="95"/>
      <c r="L161" s="50"/>
      <c r="O161" s="98"/>
      <c r="Q161" s="95"/>
    </row>
    <row r="162">
      <c r="A162" s="98"/>
      <c r="D162" s="95"/>
      <c r="L162" s="50"/>
      <c r="O162" s="98"/>
      <c r="Q162" s="95"/>
    </row>
    <row r="163">
      <c r="A163" s="98"/>
      <c r="D163" s="95"/>
      <c r="L163" s="50"/>
      <c r="O163" s="98"/>
      <c r="Q163" s="95"/>
    </row>
    <row r="164">
      <c r="A164" s="98"/>
      <c r="D164" s="95"/>
      <c r="L164" s="50"/>
      <c r="O164" s="98"/>
      <c r="Q164" s="95"/>
    </row>
    <row r="165">
      <c r="A165" s="98"/>
      <c r="D165" s="95"/>
      <c r="L165" s="50"/>
      <c r="O165" s="98"/>
      <c r="Q165" s="95"/>
    </row>
    <row r="166">
      <c r="A166" s="98"/>
      <c r="D166" s="95"/>
      <c r="L166" s="50"/>
      <c r="O166" s="98"/>
      <c r="Q166" s="95"/>
    </row>
    <row r="167">
      <c r="A167" s="98"/>
      <c r="D167" s="95"/>
      <c r="L167" s="50"/>
      <c r="O167" s="98"/>
      <c r="Q167" s="95"/>
    </row>
    <row r="168">
      <c r="A168" s="98"/>
      <c r="D168" s="95"/>
      <c r="L168" s="50"/>
      <c r="O168" s="98"/>
      <c r="Q168" s="95"/>
    </row>
    <row r="169">
      <c r="A169" s="98"/>
      <c r="D169" s="95"/>
      <c r="L169" s="50"/>
      <c r="O169" s="98"/>
      <c r="Q169" s="95"/>
    </row>
    <row r="170">
      <c r="A170" s="98"/>
      <c r="D170" s="95"/>
      <c r="L170" s="50"/>
      <c r="O170" s="98"/>
      <c r="Q170" s="95"/>
    </row>
    <row r="171">
      <c r="A171" s="98"/>
      <c r="D171" s="95"/>
      <c r="L171" s="50"/>
      <c r="O171" s="98"/>
      <c r="Q171" s="95"/>
    </row>
    <row r="172">
      <c r="A172" s="98"/>
      <c r="D172" s="95"/>
      <c r="L172" s="50"/>
      <c r="O172" s="98"/>
      <c r="Q172" s="95"/>
    </row>
    <row r="173">
      <c r="A173" s="98"/>
      <c r="D173" s="95"/>
      <c r="L173" s="50"/>
      <c r="O173" s="98"/>
      <c r="Q173" s="95"/>
    </row>
    <row r="174">
      <c r="A174" s="98"/>
      <c r="D174" s="95"/>
      <c r="L174" s="50"/>
      <c r="O174" s="98"/>
      <c r="Q174" s="95"/>
    </row>
    <row r="175">
      <c r="A175" s="98"/>
      <c r="D175" s="95"/>
      <c r="L175" s="50"/>
      <c r="O175" s="98"/>
      <c r="Q175" s="95"/>
    </row>
    <row r="176">
      <c r="A176" s="98"/>
      <c r="D176" s="95"/>
      <c r="L176" s="50"/>
      <c r="O176" s="98"/>
      <c r="Q176" s="95"/>
    </row>
    <row r="177">
      <c r="A177" s="98"/>
      <c r="D177" s="95"/>
      <c r="L177" s="50"/>
      <c r="O177" s="98"/>
      <c r="Q177" s="95"/>
    </row>
    <row r="178">
      <c r="A178" s="98"/>
      <c r="D178" s="95"/>
      <c r="L178" s="50"/>
      <c r="O178" s="98"/>
      <c r="Q178" s="95"/>
    </row>
    <row r="179">
      <c r="A179" s="98"/>
      <c r="D179" s="95"/>
      <c r="L179" s="50"/>
      <c r="O179" s="98"/>
      <c r="Q179" s="95"/>
    </row>
    <row r="180">
      <c r="A180" s="98"/>
      <c r="D180" s="95"/>
      <c r="L180" s="50"/>
      <c r="O180" s="98"/>
      <c r="Q180" s="95"/>
    </row>
    <row r="181">
      <c r="A181" s="98"/>
      <c r="D181" s="95"/>
      <c r="L181" s="50"/>
      <c r="O181" s="98"/>
      <c r="Q181" s="95"/>
    </row>
    <row r="182">
      <c r="A182" s="98"/>
      <c r="D182" s="95"/>
      <c r="L182" s="50"/>
      <c r="O182" s="98"/>
      <c r="Q182" s="95"/>
    </row>
    <row r="183">
      <c r="A183" s="98"/>
      <c r="D183" s="95"/>
      <c r="L183" s="50"/>
      <c r="O183" s="98"/>
      <c r="Q183" s="95"/>
    </row>
    <row r="184">
      <c r="A184" s="98"/>
      <c r="D184" s="95"/>
      <c r="L184" s="50"/>
      <c r="O184" s="98"/>
      <c r="Q184" s="95"/>
    </row>
    <row r="185">
      <c r="A185" s="98"/>
      <c r="D185" s="95"/>
      <c r="L185" s="50"/>
      <c r="O185" s="98"/>
      <c r="Q185" s="95"/>
    </row>
    <row r="186">
      <c r="A186" s="98"/>
      <c r="D186" s="95"/>
      <c r="L186" s="50"/>
      <c r="O186" s="98"/>
      <c r="Q186" s="95"/>
    </row>
    <row r="187">
      <c r="A187" s="98"/>
      <c r="D187" s="95"/>
      <c r="L187" s="50"/>
      <c r="O187" s="98"/>
      <c r="Q187" s="95"/>
    </row>
    <row r="188">
      <c r="A188" s="98"/>
      <c r="D188" s="95"/>
      <c r="L188" s="50"/>
      <c r="O188" s="98"/>
      <c r="Q188" s="95"/>
    </row>
    <row r="189">
      <c r="A189" s="98"/>
      <c r="D189" s="95"/>
      <c r="L189" s="50"/>
      <c r="O189" s="98"/>
      <c r="Q189" s="95"/>
    </row>
    <row r="190">
      <c r="A190" s="98"/>
      <c r="D190" s="95"/>
      <c r="L190" s="50"/>
      <c r="O190" s="98"/>
      <c r="Q190" s="95"/>
    </row>
    <row r="191">
      <c r="A191" s="98"/>
      <c r="D191" s="95"/>
      <c r="L191" s="50"/>
      <c r="O191" s="98"/>
      <c r="Q191" s="95"/>
    </row>
    <row r="192">
      <c r="A192" s="98"/>
      <c r="D192" s="95"/>
      <c r="L192" s="50"/>
      <c r="O192" s="98"/>
      <c r="Q192" s="95"/>
    </row>
    <row r="193">
      <c r="A193" s="98"/>
      <c r="D193" s="95"/>
      <c r="L193" s="50"/>
      <c r="O193" s="98"/>
      <c r="Q193" s="95"/>
    </row>
    <row r="194">
      <c r="A194" s="98"/>
      <c r="D194" s="95"/>
      <c r="L194" s="50"/>
      <c r="O194" s="98"/>
      <c r="Q194" s="95"/>
    </row>
    <row r="195">
      <c r="A195" s="98"/>
      <c r="D195" s="95"/>
      <c r="L195" s="50"/>
      <c r="O195" s="98"/>
      <c r="Q195" s="95"/>
    </row>
    <row r="196">
      <c r="A196" s="98"/>
      <c r="D196" s="95"/>
      <c r="L196" s="50"/>
      <c r="O196" s="98"/>
      <c r="Q196" s="95"/>
    </row>
    <row r="197">
      <c r="A197" s="98"/>
      <c r="D197" s="95"/>
      <c r="L197" s="50"/>
      <c r="O197" s="98"/>
      <c r="Q197" s="95"/>
    </row>
    <row r="198">
      <c r="A198" s="98"/>
      <c r="D198" s="95"/>
      <c r="L198" s="50"/>
      <c r="O198" s="98"/>
      <c r="Q198" s="95"/>
    </row>
    <row r="199">
      <c r="A199" s="98"/>
      <c r="D199" s="95"/>
      <c r="L199" s="50"/>
      <c r="O199" s="98"/>
      <c r="Q199" s="95"/>
    </row>
    <row r="200">
      <c r="A200" s="98"/>
      <c r="D200" s="95"/>
      <c r="L200" s="50"/>
      <c r="O200" s="98"/>
      <c r="Q200" s="95"/>
    </row>
    <row r="201">
      <c r="A201" s="98"/>
      <c r="D201" s="95"/>
      <c r="L201" s="50"/>
      <c r="O201" s="98"/>
      <c r="Q201" s="95"/>
    </row>
    <row r="202">
      <c r="A202" s="98"/>
      <c r="D202" s="95"/>
      <c r="L202" s="50"/>
      <c r="O202" s="98"/>
      <c r="Q202" s="95"/>
    </row>
    <row r="203">
      <c r="A203" s="98"/>
      <c r="D203" s="95"/>
      <c r="L203" s="50"/>
      <c r="O203" s="98"/>
      <c r="Q203" s="95"/>
    </row>
    <row r="204">
      <c r="A204" s="98"/>
      <c r="D204" s="95"/>
      <c r="L204" s="50"/>
      <c r="O204" s="98"/>
      <c r="Q204" s="95"/>
    </row>
    <row r="205">
      <c r="A205" s="98"/>
      <c r="D205" s="95"/>
      <c r="L205" s="50"/>
      <c r="O205" s="98"/>
      <c r="Q205" s="95"/>
    </row>
    <row r="206">
      <c r="A206" s="98"/>
      <c r="D206" s="95"/>
      <c r="L206" s="50"/>
      <c r="O206" s="98"/>
      <c r="Q206" s="95"/>
    </row>
    <row r="207">
      <c r="A207" s="98"/>
      <c r="D207" s="95"/>
      <c r="L207" s="50"/>
      <c r="O207" s="98"/>
      <c r="Q207" s="95"/>
    </row>
    <row r="208">
      <c r="A208" s="98"/>
      <c r="D208" s="95"/>
      <c r="L208" s="50"/>
      <c r="O208" s="98"/>
      <c r="Q208" s="95"/>
    </row>
    <row r="209">
      <c r="A209" s="98"/>
      <c r="D209" s="95"/>
      <c r="L209" s="50"/>
      <c r="O209" s="98"/>
      <c r="Q209" s="95"/>
    </row>
    <row r="210">
      <c r="A210" s="98"/>
      <c r="D210" s="95"/>
      <c r="L210" s="50"/>
      <c r="O210" s="98"/>
      <c r="Q210" s="95"/>
    </row>
    <row r="211">
      <c r="A211" s="98"/>
      <c r="D211" s="95"/>
      <c r="L211" s="50"/>
      <c r="O211" s="98"/>
      <c r="Q211" s="95"/>
    </row>
    <row r="212">
      <c r="A212" s="98"/>
      <c r="D212" s="95"/>
      <c r="L212" s="50"/>
      <c r="O212" s="98"/>
      <c r="Q212" s="95"/>
    </row>
    <row r="213">
      <c r="A213" s="98"/>
      <c r="D213" s="95"/>
      <c r="L213" s="50"/>
      <c r="O213" s="98"/>
      <c r="Q213" s="95"/>
    </row>
    <row r="214">
      <c r="A214" s="98"/>
      <c r="D214" s="95"/>
      <c r="L214" s="50"/>
      <c r="O214" s="98"/>
      <c r="Q214" s="95"/>
    </row>
    <row r="215">
      <c r="A215" s="98"/>
      <c r="D215" s="95"/>
      <c r="L215" s="50"/>
      <c r="O215" s="98"/>
      <c r="Q215" s="95"/>
    </row>
    <row r="216">
      <c r="A216" s="98"/>
      <c r="D216" s="95"/>
      <c r="L216" s="50"/>
      <c r="O216" s="98"/>
      <c r="Q216" s="95"/>
    </row>
    <row r="217">
      <c r="A217" s="98"/>
      <c r="D217" s="95"/>
      <c r="L217" s="50"/>
      <c r="O217" s="98"/>
      <c r="Q217" s="95"/>
    </row>
    <row r="218">
      <c r="A218" s="98"/>
      <c r="D218" s="95"/>
      <c r="L218" s="50"/>
      <c r="O218" s="98"/>
      <c r="Q218" s="95"/>
    </row>
    <row r="219">
      <c r="A219" s="98"/>
      <c r="D219" s="95"/>
      <c r="L219" s="50"/>
      <c r="O219" s="98"/>
      <c r="Q219" s="95"/>
    </row>
    <row r="220">
      <c r="A220" s="98"/>
      <c r="D220" s="95"/>
      <c r="L220" s="50"/>
      <c r="O220" s="98"/>
      <c r="Q220" s="95"/>
    </row>
    <row r="221">
      <c r="A221" s="98"/>
      <c r="D221" s="95"/>
      <c r="L221" s="50"/>
      <c r="O221" s="98"/>
      <c r="Q221" s="95"/>
    </row>
    <row r="222">
      <c r="A222" s="98"/>
      <c r="D222" s="95"/>
      <c r="L222" s="50"/>
      <c r="O222" s="98"/>
      <c r="Q222" s="95"/>
    </row>
    <row r="223">
      <c r="A223" s="98"/>
      <c r="D223" s="95"/>
      <c r="L223" s="50"/>
      <c r="O223" s="98"/>
      <c r="Q223" s="95"/>
    </row>
    <row r="224">
      <c r="A224" s="98"/>
      <c r="D224" s="95"/>
      <c r="L224" s="50"/>
      <c r="O224" s="98"/>
      <c r="Q224" s="95"/>
    </row>
    <row r="225">
      <c r="A225" s="98"/>
      <c r="D225" s="95"/>
      <c r="L225" s="50"/>
      <c r="O225" s="98"/>
      <c r="Q225" s="95"/>
    </row>
    <row r="226">
      <c r="A226" s="98"/>
      <c r="D226" s="95"/>
      <c r="L226" s="50"/>
      <c r="O226" s="98"/>
      <c r="Q226" s="95"/>
    </row>
    <row r="227">
      <c r="A227" s="98"/>
      <c r="D227" s="95"/>
      <c r="L227" s="50"/>
      <c r="O227" s="98"/>
      <c r="Q227" s="95"/>
    </row>
    <row r="228">
      <c r="A228" s="98"/>
      <c r="D228" s="95"/>
      <c r="L228" s="50"/>
      <c r="O228" s="98"/>
      <c r="Q228" s="95"/>
    </row>
    <row r="229">
      <c r="A229" s="98"/>
      <c r="D229" s="95"/>
      <c r="L229" s="50"/>
      <c r="O229" s="98"/>
      <c r="Q229" s="95"/>
    </row>
    <row r="230">
      <c r="A230" s="98"/>
      <c r="D230" s="95"/>
      <c r="L230" s="50"/>
      <c r="O230" s="98"/>
      <c r="Q230" s="95"/>
    </row>
    <row r="231">
      <c r="A231" s="98"/>
      <c r="D231" s="95"/>
      <c r="L231" s="50"/>
      <c r="O231" s="98"/>
      <c r="Q231" s="95"/>
    </row>
    <row r="232">
      <c r="A232" s="98"/>
      <c r="D232" s="95"/>
      <c r="L232" s="50"/>
      <c r="O232" s="98"/>
      <c r="Q232" s="95"/>
    </row>
    <row r="233">
      <c r="A233" s="98"/>
      <c r="D233" s="95"/>
      <c r="L233" s="50"/>
      <c r="O233" s="98"/>
      <c r="Q233" s="95"/>
    </row>
    <row r="234">
      <c r="A234" s="98"/>
      <c r="D234" s="95"/>
      <c r="L234" s="50"/>
      <c r="O234" s="98"/>
      <c r="Q234" s="95"/>
    </row>
    <row r="235">
      <c r="A235" s="98"/>
      <c r="D235" s="95"/>
      <c r="L235" s="50"/>
      <c r="O235" s="98"/>
      <c r="Q235" s="95"/>
    </row>
    <row r="236">
      <c r="A236" s="98"/>
      <c r="D236" s="95"/>
      <c r="L236" s="50"/>
      <c r="O236" s="98"/>
      <c r="Q236" s="95"/>
    </row>
    <row r="237">
      <c r="A237" s="98"/>
      <c r="D237" s="95"/>
      <c r="L237" s="50"/>
      <c r="O237" s="98"/>
      <c r="Q237" s="95"/>
    </row>
    <row r="238">
      <c r="A238" s="98"/>
      <c r="D238" s="95"/>
      <c r="L238" s="50"/>
      <c r="O238" s="98"/>
      <c r="Q238" s="95"/>
    </row>
    <row r="239">
      <c r="A239" s="98"/>
      <c r="D239" s="95"/>
      <c r="L239" s="50"/>
      <c r="O239" s="98"/>
      <c r="Q239" s="95"/>
    </row>
    <row r="240">
      <c r="A240" s="98"/>
      <c r="D240" s="95"/>
      <c r="L240" s="50"/>
      <c r="O240" s="98"/>
      <c r="Q240" s="95"/>
    </row>
    <row r="241">
      <c r="A241" s="98"/>
      <c r="D241" s="95"/>
      <c r="L241" s="50"/>
      <c r="O241" s="98"/>
      <c r="Q241" s="95"/>
    </row>
    <row r="242">
      <c r="A242" s="98"/>
      <c r="D242" s="95"/>
      <c r="L242" s="50"/>
      <c r="O242" s="98"/>
      <c r="Q242" s="95"/>
    </row>
    <row r="243">
      <c r="A243" s="98"/>
      <c r="D243" s="95"/>
      <c r="L243" s="50"/>
      <c r="O243" s="98"/>
      <c r="Q243" s="95"/>
    </row>
    <row r="244">
      <c r="A244" s="98"/>
      <c r="D244" s="95"/>
      <c r="L244" s="50"/>
      <c r="O244" s="98"/>
      <c r="Q244" s="95"/>
    </row>
    <row r="245">
      <c r="A245" s="98"/>
      <c r="D245" s="95"/>
      <c r="L245" s="50"/>
      <c r="O245" s="98"/>
      <c r="Q245" s="95"/>
    </row>
    <row r="246">
      <c r="A246" s="98"/>
      <c r="D246" s="95"/>
      <c r="L246" s="50"/>
      <c r="O246" s="98"/>
      <c r="Q246" s="95"/>
    </row>
    <row r="247">
      <c r="A247" s="98"/>
      <c r="D247" s="95"/>
      <c r="L247" s="50"/>
      <c r="O247" s="98"/>
      <c r="Q247" s="95"/>
    </row>
    <row r="248">
      <c r="A248" s="98"/>
      <c r="D248" s="95"/>
      <c r="L248" s="50"/>
      <c r="O248" s="98"/>
      <c r="Q248" s="95"/>
    </row>
    <row r="249">
      <c r="A249" s="98"/>
      <c r="D249" s="95"/>
      <c r="L249" s="50"/>
      <c r="O249" s="98"/>
      <c r="Q249" s="95"/>
    </row>
    <row r="250">
      <c r="A250" s="98"/>
      <c r="D250" s="95"/>
      <c r="L250" s="50"/>
      <c r="O250" s="98"/>
      <c r="Q250" s="95"/>
    </row>
    <row r="251">
      <c r="A251" s="98"/>
      <c r="D251" s="95"/>
      <c r="L251" s="50"/>
      <c r="O251" s="98"/>
      <c r="Q251" s="95"/>
    </row>
    <row r="252">
      <c r="A252" s="98"/>
      <c r="D252" s="95"/>
      <c r="L252" s="50"/>
      <c r="O252" s="98"/>
      <c r="Q252" s="95"/>
    </row>
    <row r="253">
      <c r="A253" s="98"/>
      <c r="D253" s="95"/>
      <c r="L253" s="50"/>
      <c r="O253" s="98"/>
      <c r="Q253" s="95"/>
    </row>
    <row r="254">
      <c r="A254" s="98"/>
      <c r="D254" s="95"/>
      <c r="L254" s="50"/>
      <c r="O254" s="98"/>
      <c r="Q254" s="95"/>
    </row>
    <row r="255">
      <c r="A255" s="98"/>
      <c r="D255" s="95"/>
      <c r="L255" s="50"/>
      <c r="O255" s="98"/>
      <c r="Q255" s="95"/>
    </row>
    <row r="256">
      <c r="A256" s="98"/>
      <c r="D256" s="95"/>
      <c r="L256" s="50"/>
      <c r="O256" s="98"/>
      <c r="Q256" s="95"/>
    </row>
    <row r="257">
      <c r="A257" s="98"/>
      <c r="D257" s="95"/>
      <c r="L257" s="50"/>
      <c r="O257" s="98"/>
      <c r="Q257" s="95"/>
    </row>
    <row r="258">
      <c r="A258" s="98"/>
      <c r="D258" s="95"/>
      <c r="L258" s="50"/>
      <c r="O258" s="98"/>
      <c r="Q258" s="95"/>
    </row>
    <row r="259">
      <c r="A259" s="98"/>
      <c r="D259" s="95"/>
      <c r="L259" s="50"/>
      <c r="O259" s="98"/>
      <c r="Q259" s="95"/>
    </row>
    <row r="260">
      <c r="A260" s="98"/>
      <c r="D260" s="95"/>
      <c r="L260" s="50"/>
      <c r="O260" s="98"/>
      <c r="Q260" s="95"/>
    </row>
    <row r="261">
      <c r="A261" s="98"/>
      <c r="D261" s="95"/>
      <c r="L261" s="50"/>
      <c r="O261" s="98"/>
      <c r="Q261" s="95"/>
    </row>
    <row r="262">
      <c r="A262" s="98"/>
      <c r="D262" s="95"/>
      <c r="L262" s="50"/>
      <c r="O262" s="98"/>
      <c r="Q262" s="95"/>
    </row>
    <row r="263">
      <c r="A263" s="98"/>
      <c r="D263" s="95"/>
      <c r="L263" s="50"/>
      <c r="O263" s="98"/>
      <c r="Q263" s="95"/>
    </row>
    <row r="264">
      <c r="A264" s="98"/>
      <c r="D264" s="95"/>
      <c r="L264" s="50"/>
      <c r="O264" s="98"/>
      <c r="Q264" s="95"/>
    </row>
    <row r="265">
      <c r="A265" s="98"/>
      <c r="D265" s="95"/>
      <c r="L265" s="50"/>
      <c r="O265" s="98"/>
      <c r="Q265" s="95"/>
    </row>
    <row r="266">
      <c r="A266" s="98"/>
      <c r="D266" s="95"/>
      <c r="L266" s="50"/>
      <c r="O266" s="98"/>
      <c r="Q266" s="95"/>
    </row>
    <row r="267">
      <c r="A267" s="98"/>
      <c r="D267" s="95"/>
      <c r="L267" s="50"/>
      <c r="O267" s="98"/>
      <c r="Q267" s="95"/>
    </row>
    <row r="268">
      <c r="A268" s="98"/>
      <c r="D268" s="95"/>
      <c r="L268" s="50"/>
      <c r="O268" s="98"/>
      <c r="Q268" s="95"/>
    </row>
    <row r="269">
      <c r="A269" s="98"/>
      <c r="D269" s="95"/>
      <c r="L269" s="50"/>
      <c r="O269" s="98"/>
      <c r="Q269" s="95"/>
    </row>
    <row r="270">
      <c r="A270" s="98"/>
      <c r="D270" s="95"/>
      <c r="L270" s="50"/>
      <c r="O270" s="98"/>
      <c r="Q270" s="95"/>
    </row>
    <row r="271">
      <c r="A271" s="98"/>
      <c r="D271" s="95"/>
      <c r="L271" s="50"/>
      <c r="O271" s="98"/>
      <c r="Q271" s="95"/>
    </row>
    <row r="272">
      <c r="A272" s="98"/>
      <c r="D272" s="95"/>
      <c r="L272" s="50"/>
      <c r="O272" s="98"/>
      <c r="Q272" s="95"/>
    </row>
    <row r="273">
      <c r="A273" s="98"/>
      <c r="D273" s="95"/>
      <c r="L273" s="50"/>
      <c r="O273" s="98"/>
      <c r="Q273" s="95"/>
    </row>
    <row r="274">
      <c r="A274" s="98"/>
      <c r="D274" s="95"/>
      <c r="L274" s="50"/>
      <c r="O274" s="98"/>
      <c r="Q274" s="95"/>
    </row>
    <row r="275">
      <c r="A275" s="98"/>
      <c r="D275" s="95"/>
      <c r="L275" s="50"/>
      <c r="O275" s="98"/>
      <c r="Q275" s="95"/>
    </row>
    <row r="276">
      <c r="A276" s="98"/>
      <c r="D276" s="95"/>
      <c r="L276" s="50"/>
      <c r="O276" s="98"/>
      <c r="Q276" s="95"/>
    </row>
    <row r="277">
      <c r="A277" s="98"/>
      <c r="D277" s="95"/>
      <c r="L277" s="50"/>
      <c r="O277" s="98"/>
      <c r="Q277" s="95"/>
    </row>
    <row r="278">
      <c r="A278" s="98"/>
      <c r="D278" s="95"/>
      <c r="L278" s="50"/>
      <c r="O278" s="98"/>
      <c r="Q278" s="95"/>
    </row>
    <row r="279">
      <c r="A279" s="98"/>
      <c r="D279" s="95"/>
      <c r="L279" s="50"/>
      <c r="O279" s="98"/>
      <c r="Q279" s="95"/>
    </row>
    <row r="280">
      <c r="A280" s="98"/>
      <c r="D280" s="95"/>
      <c r="L280" s="50"/>
      <c r="O280" s="98"/>
      <c r="Q280" s="95"/>
    </row>
    <row r="281">
      <c r="A281" s="98"/>
      <c r="D281" s="95"/>
      <c r="L281" s="50"/>
      <c r="O281" s="98"/>
      <c r="Q281" s="95"/>
    </row>
    <row r="282">
      <c r="A282" s="98"/>
      <c r="D282" s="95"/>
      <c r="L282" s="50"/>
      <c r="O282" s="98"/>
      <c r="Q282" s="95"/>
    </row>
    <row r="283">
      <c r="A283" s="98"/>
      <c r="D283" s="95"/>
      <c r="L283" s="50"/>
      <c r="O283" s="98"/>
      <c r="Q283" s="95"/>
    </row>
    <row r="284">
      <c r="A284" s="98"/>
      <c r="D284" s="95"/>
      <c r="L284" s="50"/>
      <c r="O284" s="98"/>
      <c r="Q284" s="95"/>
    </row>
    <row r="285">
      <c r="A285" s="98"/>
      <c r="D285" s="95"/>
      <c r="L285" s="50"/>
      <c r="O285" s="98"/>
      <c r="Q285" s="95"/>
    </row>
    <row r="286">
      <c r="A286" s="98"/>
      <c r="D286" s="95"/>
      <c r="L286" s="50"/>
      <c r="O286" s="98"/>
      <c r="Q286" s="95"/>
    </row>
    <row r="287">
      <c r="A287" s="98"/>
      <c r="D287" s="95"/>
      <c r="L287" s="50"/>
      <c r="O287" s="98"/>
      <c r="Q287" s="95"/>
    </row>
    <row r="288">
      <c r="A288" s="98"/>
      <c r="D288" s="95"/>
      <c r="L288" s="50"/>
      <c r="O288" s="98"/>
      <c r="Q288" s="95"/>
    </row>
    <row r="289">
      <c r="A289" s="98"/>
      <c r="D289" s="95"/>
      <c r="L289" s="50"/>
      <c r="O289" s="98"/>
      <c r="Q289" s="95"/>
    </row>
    <row r="290">
      <c r="A290" s="98"/>
      <c r="D290" s="95"/>
      <c r="L290" s="50"/>
      <c r="O290" s="98"/>
      <c r="Q290" s="95"/>
    </row>
    <row r="291">
      <c r="A291" s="98"/>
      <c r="D291" s="95"/>
      <c r="L291" s="50"/>
      <c r="O291" s="98"/>
      <c r="Q291" s="95"/>
    </row>
    <row r="292">
      <c r="A292" s="98"/>
      <c r="D292" s="95"/>
      <c r="L292" s="50"/>
      <c r="O292" s="98"/>
      <c r="Q292" s="95"/>
    </row>
    <row r="293">
      <c r="A293" s="98"/>
      <c r="D293" s="95"/>
      <c r="L293" s="50"/>
      <c r="O293" s="98"/>
      <c r="Q293" s="95"/>
    </row>
    <row r="294">
      <c r="A294" s="98"/>
      <c r="D294" s="95"/>
      <c r="L294" s="50"/>
      <c r="O294" s="98"/>
      <c r="Q294" s="95"/>
    </row>
    <row r="295">
      <c r="A295" s="98"/>
      <c r="D295" s="95"/>
      <c r="L295" s="50"/>
      <c r="O295" s="98"/>
      <c r="Q295" s="95"/>
    </row>
    <row r="296">
      <c r="A296" s="98"/>
      <c r="D296" s="95"/>
      <c r="L296" s="50"/>
      <c r="O296" s="98"/>
      <c r="Q296" s="95"/>
    </row>
    <row r="297">
      <c r="A297" s="98"/>
      <c r="D297" s="95"/>
      <c r="L297" s="50"/>
      <c r="O297" s="98"/>
      <c r="Q297" s="95"/>
    </row>
    <row r="298">
      <c r="A298" s="98"/>
      <c r="D298" s="95"/>
      <c r="L298" s="50"/>
      <c r="O298" s="98"/>
      <c r="Q298" s="95"/>
    </row>
    <row r="299">
      <c r="A299" s="98"/>
      <c r="D299" s="95"/>
      <c r="L299" s="50"/>
      <c r="O299" s="98"/>
      <c r="Q299" s="95"/>
    </row>
    <row r="300">
      <c r="A300" s="98"/>
      <c r="D300" s="95"/>
      <c r="L300" s="50"/>
      <c r="O300" s="98"/>
      <c r="Q300" s="95"/>
    </row>
    <row r="301">
      <c r="A301" s="98"/>
      <c r="D301" s="95"/>
      <c r="L301" s="50"/>
      <c r="O301" s="98"/>
      <c r="Q301" s="95"/>
    </row>
    <row r="302">
      <c r="A302" s="98"/>
      <c r="D302" s="95"/>
      <c r="L302" s="50"/>
      <c r="O302" s="98"/>
      <c r="Q302" s="95"/>
    </row>
    <row r="303">
      <c r="A303" s="98"/>
      <c r="D303" s="95"/>
      <c r="L303" s="50"/>
      <c r="O303" s="98"/>
      <c r="Q303" s="95"/>
    </row>
    <row r="304">
      <c r="A304" s="98"/>
      <c r="D304" s="95"/>
      <c r="L304" s="50"/>
      <c r="O304" s="98"/>
      <c r="Q304" s="95"/>
    </row>
    <row r="305">
      <c r="A305" s="98"/>
      <c r="D305" s="95"/>
      <c r="L305" s="50"/>
      <c r="O305" s="98"/>
      <c r="Q305" s="95"/>
    </row>
    <row r="306">
      <c r="A306" s="98"/>
      <c r="D306" s="95"/>
      <c r="L306" s="50"/>
      <c r="O306" s="98"/>
      <c r="Q306" s="95"/>
    </row>
    <row r="307">
      <c r="A307" s="98"/>
      <c r="D307" s="95"/>
      <c r="L307" s="50"/>
      <c r="O307" s="98"/>
      <c r="Q307" s="95"/>
    </row>
    <row r="308">
      <c r="A308" s="98"/>
      <c r="D308" s="95"/>
      <c r="L308" s="50"/>
      <c r="O308" s="98"/>
      <c r="Q308" s="95"/>
    </row>
    <row r="309">
      <c r="A309" s="98"/>
      <c r="D309" s="95"/>
      <c r="L309" s="50"/>
      <c r="O309" s="98"/>
      <c r="Q309" s="95"/>
    </row>
    <row r="310">
      <c r="A310" s="98"/>
      <c r="D310" s="95"/>
      <c r="L310" s="50"/>
      <c r="O310" s="98"/>
      <c r="Q310" s="95"/>
    </row>
    <row r="311">
      <c r="A311" s="98"/>
      <c r="D311" s="95"/>
      <c r="L311" s="50"/>
      <c r="O311" s="98"/>
      <c r="Q311" s="95"/>
    </row>
    <row r="312">
      <c r="A312" s="98"/>
      <c r="D312" s="95"/>
      <c r="L312" s="50"/>
      <c r="O312" s="98"/>
      <c r="Q312" s="95"/>
    </row>
    <row r="313">
      <c r="A313" s="98"/>
      <c r="D313" s="95"/>
      <c r="L313" s="50"/>
      <c r="O313" s="98"/>
      <c r="Q313" s="95"/>
    </row>
    <row r="314">
      <c r="A314" s="98"/>
      <c r="D314" s="95"/>
      <c r="L314" s="50"/>
      <c r="O314" s="98"/>
      <c r="Q314" s="95"/>
    </row>
    <row r="315">
      <c r="A315" s="98"/>
      <c r="D315" s="95"/>
      <c r="L315" s="50"/>
      <c r="O315" s="98"/>
      <c r="Q315" s="95"/>
    </row>
    <row r="316">
      <c r="A316" s="98"/>
      <c r="D316" s="95"/>
      <c r="L316" s="50"/>
      <c r="O316" s="98"/>
      <c r="Q316" s="95"/>
    </row>
    <row r="317">
      <c r="A317" s="98"/>
      <c r="D317" s="95"/>
      <c r="L317" s="50"/>
      <c r="O317" s="98"/>
      <c r="Q317" s="95"/>
    </row>
    <row r="318">
      <c r="A318" s="98"/>
      <c r="D318" s="95"/>
      <c r="L318" s="50"/>
      <c r="O318" s="98"/>
      <c r="Q318" s="95"/>
    </row>
    <row r="319">
      <c r="A319" s="98"/>
      <c r="D319" s="95"/>
      <c r="L319" s="50"/>
      <c r="O319" s="98"/>
      <c r="Q319" s="95"/>
    </row>
    <row r="320">
      <c r="A320" s="98"/>
      <c r="D320" s="95"/>
      <c r="L320" s="50"/>
      <c r="O320" s="98"/>
      <c r="Q320" s="95"/>
    </row>
    <row r="321">
      <c r="A321" s="98"/>
      <c r="D321" s="95"/>
      <c r="L321" s="50"/>
      <c r="O321" s="98"/>
      <c r="Q321" s="95"/>
    </row>
    <row r="322">
      <c r="A322" s="98"/>
      <c r="D322" s="95"/>
      <c r="L322" s="50"/>
      <c r="O322" s="98"/>
      <c r="Q322" s="95"/>
    </row>
    <row r="323">
      <c r="A323" s="98"/>
      <c r="D323" s="95"/>
      <c r="L323" s="50"/>
      <c r="O323" s="98"/>
      <c r="Q323" s="95"/>
    </row>
    <row r="324">
      <c r="A324" s="98"/>
      <c r="D324" s="95"/>
      <c r="L324" s="50"/>
      <c r="O324" s="98"/>
      <c r="Q324" s="95"/>
    </row>
    <row r="325">
      <c r="A325" s="98"/>
      <c r="D325" s="95"/>
      <c r="L325" s="50"/>
      <c r="O325" s="98"/>
      <c r="Q325" s="95"/>
    </row>
    <row r="326">
      <c r="A326" s="98"/>
      <c r="D326" s="95"/>
      <c r="L326" s="50"/>
      <c r="O326" s="98"/>
      <c r="Q326" s="95"/>
    </row>
    <row r="327">
      <c r="A327" s="98"/>
      <c r="D327" s="95"/>
      <c r="L327" s="50"/>
      <c r="O327" s="98"/>
      <c r="Q327" s="95"/>
    </row>
    <row r="328">
      <c r="A328" s="98"/>
      <c r="D328" s="95"/>
      <c r="L328" s="50"/>
      <c r="O328" s="98"/>
      <c r="Q328" s="95"/>
    </row>
    <row r="329">
      <c r="A329" s="98"/>
      <c r="D329" s="95"/>
      <c r="L329" s="50"/>
      <c r="O329" s="98"/>
      <c r="Q329" s="95"/>
    </row>
    <row r="330">
      <c r="A330" s="98"/>
      <c r="D330" s="95"/>
      <c r="L330" s="50"/>
      <c r="O330" s="98"/>
      <c r="Q330" s="95"/>
    </row>
    <row r="331">
      <c r="A331" s="98"/>
      <c r="D331" s="95"/>
      <c r="L331" s="50"/>
      <c r="O331" s="98"/>
      <c r="Q331" s="95"/>
    </row>
    <row r="332">
      <c r="A332" s="98"/>
      <c r="D332" s="95"/>
      <c r="L332" s="50"/>
      <c r="O332" s="98"/>
      <c r="Q332" s="95"/>
    </row>
    <row r="333">
      <c r="A333" s="98"/>
      <c r="D333" s="95"/>
      <c r="L333" s="50"/>
      <c r="O333" s="98"/>
      <c r="Q333" s="95"/>
    </row>
    <row r="334">
      <c r="A334" s="98"/>
      <c r="D334" s="95"/>
      <c r="L334" s="50"/>
      <c r="O334" s="98"/>
      <c r="Q334" s="95"/>
    </row>
    <row r="335">
      <c r="A335" s="98"/>
      <c r="D335" s="95"/>
      <c r="L335" s="50"/>
      <c r="O335" s="98"/>
      <c r="Q335" s="95"/>
    </row>
    <row r="336">
      <c r="A336" s="98"/>
      <c r="D336" s="95"/>
      <c r="L336" s="50"/>
      <c r="O336" s="98"/>
      <c r="Q336" s="95"/>
    </row>
    <row r="337">
      <c r="A337" s="98"/>
      <c r="D337" s="95"/>
      <c r="L337" s="50"/>
      <c r="O337" s="98"/>
      <c r="Q337" s="95"/>
    </row>
    <row r="338">
      <c r="A338" s="98"/>
      <c r="D338" s="95"/>
      <c r="L338" s="50"/>
      <c r="O338" s="98"/>
      <c r="Q338" s="95"/>
    </row>
    <row r="339">
      <c r="A339" s="98"/>
      <c r="D339" s="95"/>
      <c r="L339" s="50"/>
      <c r="O339" s="98"/>
      <c r="Q339" s="95"/>
    </row>
    <row r="340">
      <c r="A340" s="98"/>
      <c r="D340" s="95"/>
      <c r="L340" s="50"/>
      <c r="O340" s="98"/>
      <c r="Q340" s="95"/>
    </row>
    <row r="341">
      <c r="A341" s="98"/>
      <c r="D341" s="95"/>
      <c r="L341" s="50"/>
      <c r="O341" s="98"/>
      <c r="Q341" s="95"/>
    </row>
    <row r="342">
      <c r="A342" s="98"/>
      <c r="D342" s="95"/>
      <c r="L342" s="50"/>
      <c r="O342" s="98"/>
      <c r="Q342" s="95"/>
    </row>
    <row r="343">
      <c r="A343" s="98"/>
      <c r="D343" s="95"/>
      <c r="L343" s="50"/>
      <c r="O343" s="98"/>
      <c r="Q343" s="95"/>
    </row>
    <row r="344">
      <c r="A344" s="98"/>
      <c r="D344" s="95"/>
      <c r="L344" s="50"/>
      <c r="O344" s="98"/>
      <c r="Q344" s="95"/>
    </row>
    <row r="345">
      <c r="A345" s="98"/>
      <c r="D345" s="95"/>
      <c r="L345" s="50"/>
      <c r="O345" s="98"/>
      <c r="Q345" s="95"/>
    </row>
    <row r="346">
      <c r="A346" s="98"/>
      <c r="D346" s="95"/>
      <c r="L346" s="50"/>
      <c r="O346" s="98"/>
      <c r="Q346" s="95"/>
    </row>
    <row r="347">
      <c r="A347" s="98"/>
      <c r="D347" s="95"/>
      <c r="L347" s="50"/>
      <c r="O347" s="98"/>
      <c r="Q347" s="95"/>
    </row>
    <row r="348">
      <c r="A348" s="98"/>
      <c r="D348" s="95"/>
      <c r="L348" s="50"/>
      <c r="O348" s="98"/>
      <c r="Q348" s="95"/>
    </row>
    <row r="349">
      <c r="A349" s="98"/>
      <c r="D349" s="95"/>
      <c r="L349" s="50"/>
      <c r="O349" s="98"/>
      <c r="Q349" s="95"/>
    </row>
    <row r="350">
      <c r="A350" s="98"/>
      <c r="D350" s="95"/>
      <c r="L350" s="50"/>
      <c r="O350" s="98"/>
      <c r="Q350" s="95"/>
    </row>
    <row r="351">
      <c r="A351" s="98"/>
      <c r="D351" s="95"/>
      <c r="L351" s="50"/>
      <c r="O351" s="98"/>
      <c r="Q351" s="95"/>
    </row>
    <row r="352">
      <c r="A352" s="98"/>
      <c r="D352" s="95"/>
      <c r="L352" s="50"/>
      <c r="O352" s="98"/>
      <c r="Q352" s="95"/>
    </row>
    <row r="353">
      <c r="A353" s="98"/>
      <c r="D353" s="95"/>
      <c r="L353" s="50"/>
      <c r="O353" s="98"/>
      <c r="Q353" s="95"/>
    </row>
    <row r="354">
      <c r="A354" s="98"/>
      <c r="D354" s="95"/>
      <c r="L354" s="50"/>
      <c r="O354" s="98"/>
      <c r="Q354" s="95"/>
    </row>
    <row r="355">
      <c r="A355" s="98"/>
      <c r="D355" s="95"/>
      <c r="L355" s="50"/>
      <c r="O355" s="98"/>
      <c r="Q355" s="95"/>
    </row>
    <row r="356">
      <c r="A356" s="98"/>
      <c r="D356" s="95"/>
      <c r="L356" s="50"/>
      <c r="O356" s="98"/>
      <c r="Q356" s="95"/>
    </row>
    <row r="357">
      <c r="A357" s="98"/>
      <c r="D357" s="95"/>
      <c r="L357" s="50"/>
      <c r="O357" s="98"/>
      <c r="Q357" s="95"/>
    </row>
    <row r="358">
      <c r="A358" s="98"/>
      <c r="D358" s="95"/>
      <c r="L358" s="50"/>
      <c r="O358" s="98"/>
      <c r="Q358" s="95"/>
    </row>
    <row r="359">
      <c r="A359" s="98"/>
      <c r="D359" s="95"/>
      <c r="L359" s="50"/>
      <c r="O359" s="98"/>
      <c r="Q359" s="95"/>
    </row>
    <row r="360">
      <c r="A360" s="98"/>
      <c r="D360" s="95"/>
      <c r="L360" s="50"/>
      <c r="O360" s="98"/>
      <c r="Q360" s="95"/>
    </row>
    <row r="361">
      <c r="A361" s="98"/>
      <c r="D361" s="95"/>
      <c r="L361" s="50"/>
      <c r="O361" s="98"/>
      <c r="Q361" s="95"/>
    </row>
    <row r="362">
      <c r="A362" s="98"/>
      <c r="D362" s="95"/>
      <c r="L362" s="50"/>
      <c r="O362" s="98"/>
      <c r="Q362" s="95"/>
    </row>
    <row r="363">
      <c r="A363" s="98"/>
      <c r="D363" s="95"/>
      <c r="L363" s="50"/>
      <c r="O363" s="98"/>
      <c r="Q363" s="95"/>
    </row>
    <row r="364">
      <c r="A364" s="98"/>
      <c r="D364" s="95"/>
      <c r="L364" s="50"/>
      <c r="O364" s="98"/>
      <c r="Q364" s="95"/>
    </row>
    <row r="365">
      <c r="A365" s="98"/>
      <c r="D365" s="95"/>
      <c r="L365" s="50"/>
      <c r="O365" s="98"/>
      <c r="Q365" s="95"/>
    </row>
    <row r="366">
      <c r="A366" s="98"/>
      <c r="D366" s="95"/>
      <c r="L366" s="50"/>
      <c r="O366" s="98"/>
      <c r="Q366" s="95"/>
    </row>
    <row r="367">
      <c r="A367" s="98"/>
      <c r="D367" s="95"/>
      <c r="L367" s="50"/>
      <c r="O367" s="98"/>
      <c r="Q367" s="95"/>
    </row>
    <row r="368">
      <c r="A368" s="98"/>
      <c r="D368" s="95"/>
      <c r="L368" s="50"/>
      <c r="O368" s="98"/>
      <c r="Q368" s="95"/>
    </row>
    <row r="369">
      <c r="A369" s="98"/>
      <c r="D369" s="95"/>
      <c r="L369" s="50"/>
      <c r="O369" s="98"/>
      <c r="Q369" s="95"/>
    </row>
    <row r="370">
      <c r="A370" s="98"/>
      <c r="D370" s="95"/>
      <c r="L370" s="50"/>
      <c r="O370" s="98"/>
      <c r="Q370" s="95"/>
    </row>
    <row r="371">
      <c r="A371" s="98"/>
      <c r="D371" s="95"/>
      <c r="L371" s="50"/>
      <c r="O371" s="98"/>
      <c r="Q371" s="95"/>
    </row>
    <row r="372">
      <c r="A372" s="98"/>
      <c r="D372" s="95"/>
      <c r="L372" s="50"/>
      <c r="O372" s="98"/>
      <c r="Q372" s="95"/>
    </row>
    <row r="373">
      <c r="A373" s="98"/>
      <c r="D373" s="95"/>
      <c r="L373" s="50"/>
      <c r="O373" s="98"/>
      <c r="Q373" s="95"/>
    </row>
    <row r="374">
      <c r="A374" s="98"/>
      <c r="D374" s="95"/>
      <c r="L374" s="50"/>
      <c r="O374" s="98"/>
      <c r="Q374" s="95"/>
    </row>
    <row r="375">
      <c r="A375" s="98"/>
      <c r="D375" s="95"/>
      <c r="L375" s="50"/>
      <c r="O375" s="98"/>
      <c r="Q375" s="95"/>
    </row>
    <row r="376">
      <c r="A376" s="98"/>
      <c r="D376" s="95"/>
      <c r="L376" s="50"/>
      <c r="O376" s="98"/>
      <c r="Q376" s="95"/>
    </row>
    <row r="377">
      <c r="A377" s="98"/>
      <c r="D377" s="95"/>
      <c r="L377" s="50"/>
      <c r="O377" s="98"/>
      <c r="Q377" s="95"/>
    </row>
    <row r="378">
      <c r="A378" s="98"/>
      <c r="D378" s="95"/>
      <c r="L378" s="50"/>
      <c r="O378" s="98"/>
      <c r="Q378" s="95"/>
    </row>
    <row r="379">
      <c r="A379" s="98"/>
      <c r="D379" s="95"/>
      <c r="L379" s="50"/>
      <c r="O379" s="98"/>
      <c r="Q379" s="95"/>
    </row>
    <row r="380">
      <c r="A380" s="98"/>
      <c r="D380" s="95"/>
      <c r="L380" s="50"/>
      <c r="O380" s="98"/>
      <c r="Q380" s="95"/>
    </row>
    <row r="381">
      <c r="A381" s="98"/>
      <c r="D381" s="95"/>
      <c r="L381" s="50"/>
      <c r="O381" s="98"/>
      <c r="Q381" s="95"/>
    </row>
    <row r="382">
      <c r="A382" s="98"/>
      <c r="D382" s="95"/>
      <c r="L382" s="50"/>
      <c r="O382" s="98"/>
      <c r="Q382" s="95"/>
    </row>
    <row r="383">
      <c r="A383" s="98"/>
      <c r="D383" s="95"/>
      <c r="L383" s="50"/>
      <c r="O383" s="98"/>
      <c r="Q383" s="95"/>
    </row>
    <row r="384">
      <c r="A384" s="98"/>
      <c r="D384" s="95"/>
      <c r="L384" s="50"/>
      <c r="O384" s="98"/>
      <c r="Q384" s="95"/>
    </row>
    <row r="385">
      <c r="A385" s="98"/>
      <c r="D385" s="95"/>
      <c r="L385" s="50"/>
      <c r="O385" s="98"/>
      <c r="Q385" s="95"/>
    </row>
    <row r="386">
      <c r="A386" s="98"/>
      <c r="D386" s="95"/>
      <c r="L386" s="50"/>
      <c r="O386" s="98"/>
      <c r="Q386" s="95"/>
    </row>
    <row r="387">
      <c r="A387" s="98"/>
      <c r="D387" s="95"/>
      <c r="L387" s="50"/>
      <c r="O387" s="98"/>
      <c r="Q387" s="95"/>
    </row>
    <row r="388">
      <c r="A388" s="98"/>
      <c r="D388" s="95"/>
      <c r="L388" s="50"/>
      <c r="O388" s="98"/>
      <c r="Q388" s="95"/>
    </row>
    <row r="389">
      <c r="A389" s="98"/>
      <c r="D389" s="95"/>
      <c r="L389" s="50"/>
      <c r="O389" s="98"/>
      <c r="Q389" s="95"/>
    </row>
    <row r="390">
      <c r="A390" s="98"/>
      <c r="D390" s="95"/>
      <c r="L390" s="50"/>
      <c r="O390" s="98"/>
      <c r="Q390" s="95"/>
    </row>
    <row r="391">
      <c r="A391" s="98"/>
      <c r="D391" s="95"/>
      <c r="L391" s="50"/>
      <c r="O391" s="98"/>
      <c r="Q391" s="95"/>
    </row>
    <row r="392">
      <c r="A392" s="98"/>
      <c r="D392" s="95"/>
      <c r="L392" s="50"/>
      <c r="O392" s="98"/>
      <c r="Q392" s="95"/>
    </row>
    <row r="393">
      <c r="A393" s="98"/>
      <c r="D393" s="95"/>
      <c r="L393" s="50"/>
      <c r="O393" s="98"/>
      <c r="Q393" s="95"/>
    </row>
    <row r="394">
      <c r="A394" s="98"/>
      <c r="D394" s="95"/>
      <c r="L394" s="50"/>
      <c r="O394" s="98"/>
      <c r="Q394" s="95"/>
    </row>
    <row r="395">
      <c r="A395" s="98"/>
      <c r="D395" s="95"/>
      <c r="L395" s="50"/>
      <c r="O395" s="98"/>
      <c r="Q395" s="95"/>
    </row>
    <row r="396">
      <c r="A396" s="98"/>
      <c r="D396" s="95"/>
      <c r="L396" s="50"/>
      <c r="O396" s="98"/>
      <c r="Q396" s="95"/>
    </row>
    <row r="397">
      <c r="A397" s="98"/>
      <c r="D397" s="95"/>
      <c r="L397" s="50"/>
      <c r="O397" s="98"/>
      <c r="Q397" s="95"/>
    </row>
    <row r="398">
      <c r="A398" s="98"/>
      <c r="D398" s="95"/>
      <c r="L398" s="50"/>
      <c r="O398" s="98"/>
      <c r="Q398" s="95"/>
    </row>
    <row r="399">
      <c r="A399" s="98"/>
      <c r="D399" s="95"/>
      <c r="L399" s="50"/>
      <c r="O399" s="98"/>
      <c r="Q399" s="95"/>
    </row>
    <row r="400">
      <c r="A400" s="98"/>
      <c r="D400" s="95"/>
      <c r="L400" s="50"/>
      <c r="O400" s="98"/>
      <c r="Q400" s="95"/>
    </row>
    <row r="401">
      <c r="A401" s="98"/>
      <c r="D401" s="95"/>
      <c r="L401" s="50"/>
      <c r="O401" s="98"/>
      <c r="Q401" s="95"/>
    </row>
    <row r="402">
      <c r="A402" s="98"/>
      <c r="D402" s="95"/>
      <c r="L402" s="50"/>
      <c r="O402" s="98"/>
      <c r="Q402" s="95"/>
    </row>
    <row r="403">
      <c r="A403" s="98"/>
      <c r="D403" s="95"/>
      <c r="L403" s="50"/>
      <c r="O403" s="98"/>
      <c r="Q403" s="95"/>
    </row>
    <row r="404">
      <c r="A404" s="98"/>
      <c r="D404" s="95"/>
      <c r="L404" s="50"/>
      <c r="O404" s="98"/>
      <c r="Q404" s="95"/>
    </row>
    <row r="405">
      <c r="A405" s="98"/>
      <c r="D405" s="95"/>
      <c r="L405" s="50"/>
      <c r="O405" s="98"/>
      <c r="Q405" s="95"/>
    </row>
    <row r="406">
      <c r="A406" s="98"/>
      <c r="D406" s="95"/>
      <c r="L406" s="50"/>
      <c r="O406" s="98"/>
      <c r="Q406" s="95"/>
    </row>
    <row r="407">
      <c r="A407" s="98"/>
      <c r="D407" s="95"/>
      <c r="L407" s="50"/>
      <c r="O407" s="98"/>
      <c r="Q407" s="95"/>
    </row>
    <row r="408">
      <c r="A408" s="98"/>
      <c r="D408" s="95"/>
      <c r="L408" s="50"/>
      <c r="O408" s="98"/>
      <c r="Q408" s="95"/>
    </row>
    <row r="409">
      <c r="A409" s="98"/>
      <c r="D409" s="95"/>
      <c r="L409" s="50"/>
      <c r="O409" s="98"/>
      <c r="Q409" s="95"/>
    </row>
    <row r="410">
      <c r="A410" s="98"/>
      <c r="D410" s="95"/>
      <c r="L410" s="50"/>
      <c r="O410" s="98"/>
      <c r="Q410" s="95"/>
    </row>
    <row r="411">
      <c r="A411" s="98"/>
      <c r="D411" s="95"/>
      <c r="L411" s="50"/>
      <c r="O411" s="98"/>
      <c r="Q411" s="95"/>
    </row>
    <row r="412">
      <c r="A412" s="98"/>
      <c r="D412" s="95"/>
      <c r="L412" s="50"/>
      <c r="O412" s="98"/>
      <c r="Q412" s="95"/>
    </row>
    <row r="413">
      <c r="A413" s="98"/>
      <c r="D413" s="95"/>
      <c r="L413" s="50"/>
      <c r="O413" s="98"/>
      <c r="Q413" s="95"/>
    </row>
    <row r="414">
      <c r="A414" s="98"/>
      <c r="D414" s="95"/>
      <c r="L414" s="50"/>
      <c r="O414" s="98"/>
      <c r="Q414" s="95"/>
    </row>
    <row r="415">
      <c r="A415" s="98"/>
      <c r="D415" s="95"/>
      <c r="L415" s="50"/>
      <c r="O415" s="98"/>
      <c r="Q415" s="95"/>
    </row>
    <row r="416">
      <c r="A416" s="98"/>
      <c r="D416" s="95"/>
      <c r="L416" s="50"/>
      <c r="O416" s="98"/>
      <c r="Q416" s="95"/>
    </row>
    <row r="417">
      <c r="A417" s="98"/>
      <c r="D417" s="95"/>
      <c r="L417" s="50"/>
      <c r="O417" s="98"/>
      <c r="Q417" s="95"/>
    </row>
    <row r="418">
      <c r="A418" s="98"/>
      <c r="D418" s="95"/>
      <c r="L418" s="50"/>
      <c r="O418" s="98"/>
      <c r="Q418" s="95"/>
    </row>
    <row r="419">
      <c r="A419" s="98"/>
      <c r="D419" s="95"/>
      <c r="L419" s="50"/>
      <c r="O419" s="98"/>
      <c r="Q419" s="95"/>
    </row>
    <row r="420">
      <c r="A420" s="98"/>
      <c r="D420" s="95"/>
      <c r="L420" s="50"/>
      <c r="O420" s="98"/>
      <c r="Q420" s="95"/>
    </row>
    <row r="421">
      <c r="A421" s="98"/>
      <c r="D421" s="95"/>
      <c r="L421" s="50"/>
      <c r="O421" s="98"/>
      <c r="Q421" s="95"/>
    </row>
    <row r="422">
      <c r="A422" s="98"/>
      <c r="D422" s="95"/>
      <c r="L422" s="50"/>
      <c r="O422" s="98"/>
      <c r="Q422" s="95"/>
    </row>
    <row r="423">
      <c r="A423" s="98"/>
      <c r="D423" s="95"/>
      <c r="L423" s="50"/>
      <c r="O423" s="98"/>
      <c r="Q423" s="95"/>
    </row>
    <row r="424">
      <c r="A424" s="98"/>
      <c r="D424" s="95"/>
      <c r="L424" s="50"/>
      <c r="O424" s="98"/>
      <c r="Q424" s="95"/>
    </row>
    <row r="425">
      <c r="A425" s="98"/>
      <c r="D425" s="95"/>
      <c r="L425" s="50"/>
      <c r="O425" s="98"/>
      <c r="Q425" s="95"/>
    </row>
    <row r="426">
      <c r="A426" s="98"/>
      <c r="D426" s="95"/>
      <c r="L426" s="50"/>
      <c r="O426" s="98"/>
      <c r="Q426" s="95"/>
    </row>
    <row r="427">
      <c r="A427" s="98"/>
      <c r="D427" s="95"/>
      <c r="L427" s="50"/>
      <c r="O427" s="98"/>
      <c r="Q427" s="95"/>
    </row>
    <row r="428">
      <c r="A428" s="98"/>
      <c r="D428" s="95"/>
      <c r="L428" s="50"/>
      <c r="O428" s="98"/>
      <c r="Q428" s="95"/>
    </row>
    <row r="429">
      <c r="A429" s="98"/>
      <c r="D429" s="95"/>
      <c r="L429" s="50"/>
      <c r="O429" s="98"/>
      <c r="Q429" s="95"/>
    </row>
    <row r="430">
      <c r="A430" s="98"/>
      <c r="D430" s="95"/>
      <c r="L430" s="50"/>
      <c r="O430" s="98"/>
      <c r="Q430" s="95"/>
    </row>
    <row r="431">
      <c r="A431" s="98"/>
      <c r="D431" s="95"/>
      <c r="L431" s="50"/>
      <c r="O431" s="98"/>
      <c r="Q431" s="95"/>
    </row>
    <row r="432">
      <c r="A432" s="98"/>
      <c r="D432" s="95"/>
      <c r="L432" s="50"/>
      <c r="O432" s="98"/>
      <c r="Q432" s="95"/>
    </row>
    <row r="433">
      <c r="A433" s="98"/>
      <c r="D433" s="95"/>
      <c r="L433" s="50"/>
      <c r="O433" s="98"/>
      <c r="Q433" s="95"/>
    </row>
    <row r="434">
      <c r="A434" s="98"/>
      <c r="D434" s="95"/>
      <c r="L434" s="50"/>
      <c r="O434" s="98"/>
      <c r="Q434" s="95"/>
    </row>
    <row r="435">
      <c r="A435" s="98"/>
      <c r="D435" s="95"/>
      <c r="L435" s="50"/>
      <c r="O435" s="98"/>
      <c r="Q435" s="95"/>
    </row>
    <row r="436">
      <c r="A436" s="98"/>
      <c r="D436" s="95"/>
      <c r="L436" s="50"/>
      <c r="O436" s="98"/>
      <c r="Q436" s="95"/>
    </row>
    <row r="437">
      <c r="A437" s="98"/>
      <c r="D437" s="95"/>
      <c r="L437" s="50"/>
      <c r="O437" s="98"/>
      <c r="Q437" s="95"/>
    </row>
    <row r="438">
      <c r="A438" s="98"/>
      <c r="D438" s="95"/>
      <c r="L438" s="50"/>
      <c r="O438" s="98"/>
      <c r="Q438" s="95"/>
    </row>
    <row r="439">
      <c r="A439" s="98"/>
      <c r="D439" s="95"/>
      <c r="L439" s="50"/>
      <c r="O439" s="98"/>
      <c r="Q439" s="95"/>
    </row>
    <row r="440">
      <c r="A440" s="98"/>
      <c r="D440" s="95"/>
      <c r="L440" s="50"/>
      <c r="O440" s="98"/>
      <c r="Q440" s="95"/>
    </row>
    <row r="441">
      <c r="A441" s="98"/>
      <c r="D441" s="95"/>
      <c r="L441" s="50"/>
      <c r="O441" s="98"/>
      <c r="Q441" s="95"/>
    </row>
    <row r="442">
      <c r="A442" s="98"/>
      <c r="D442" s="95"/>
      <c r="L442" s="50"/>
      <c r="O442" s="98"/>
      <c r="Q442" s="95"/>
    </row>
    <row r="443">
      <c r="A443" s="98"/>
      <c r="D443" s="95"/>
      <c r="L443" s="50"/>
      <c r="O443" s="98"/>
      <c r="Q443" s="95"/>
    </row>
    <row r="444">
      <c r="A444" s="98"/>
      <c r="D444" s="95"/>
      <c r="L444" s="50"/>
      <c r="O444" s="98"/>
      <c r="Q444" s="95"/>
    </row>
    <row r="445">
      <c r="A445" s="98"/>
      <c r="D445" s="95"/>
      <c r="L445" s="50"/>
      <c r="O445" s="98"/>
      <c r="Q445" s="95"/>
    </row>
    <row r="446">
      <c r="A446" s="98"/>
      <c r="D446" s="95"/>
      <c r="L446" s="50"/>
      <c r="O446" s="98"/>
      <c r="Q446" s="95"/>
    </row>
    <row r="447">
      <c r="A447" s="98"/>
      <c r="D447" s="95"/>
      <c r="L447" s="50"/>
      <c r="O447" s="98"/>
      <c r="Q447" s="95"/>
    </row>
    <row r="448">
      <c r="A448" s="98"/>
      <c r="D448" s="95"/>
      <c r="L448" s="50"/>
      <c r="O448" s="98"/>
      <c r="Q448" s="95"/>
    </row>
    <row r="449">
      <c r="A449" s="98"/>
      <c r="D449" s="95"/>
      <c r="L449" s="50"/>
      <c r="O449" s="98"/>
      <c r="Q449" s="95"/>
    </row>
    <row r="450">
      <c r="A450" s="98"/>
      <c r="D450" s="95"/>
      <c r="L450" s="50"/>
      <c r="O450" s="98"/>
      <c r="Q450" s="95"/>
    </row>
    <row r="451">
      <c r="A451" s="98"/>
      <c r="D451" s="95"/>
      <c r="L451" s="50"/>
      <c r="O451" s="98"/>
      <c r="Q451" s="95"/>
    </row>
    <row r="452">
      <c r="A452" s="98"/>
      <c r="D452" s="95"/>
      <c r="L452" s="50"/>
      <c r="O452" s="98"/>
      <c r="Q452" s="95"/>
    </row>
    <row r="453">
      <c r="A453" s="98"/>
      <c r="D453" s="95"/>
      <c r="L453" s="50"/>
      <c r="O453" s="98"/>
      <c r="Q453" s="95"/>
    </row>
    <row r="454">
      <c r="A454" s="98"/>
      <c r="D454" s="95"/>
      <c r="L454" s="50"/>
      <c r="O454" s="98"/>
      <c r="Q454" s="95"/>
    </row>
    <row r="455">
      <c r="A455" s="98"/>
      <c r="D455" s="95"/>
      <c r="L455" s="50"/>
      <c r="O455" s="98"/>
      <c r="Q455" s="95"/>
    </row>
    <row r="456">
      <c r="A456" s="98"/>
      <c r="D456" s="95"/>
      <c r="L456" s="50"/>
      <c r="O456" s="98"/>
      <c r="Q456" s="95"/>
    </row>
    <row r="457">
      <c r="A457" s="98"/>
      <c r="D457" s="95"/>
      <c r="L457" s="50"/>
      <c r="O457" s="98"/>
      <c r="Q457" s="95"/>
    </row>
    <row r="458">
      <c r="A458" s="98"/>
      <c r="D458" s="95"/>
      <c r="L458" s="50"/>
      <c r="O458" s="98"/>
      <c r="Q458" s="95"/>
    </row>
    <row r="459">
      <c r="A459" s="98"/>
      <c r="D459" s="95"/>
      <c r="L459" s="50"/>
      <c r="O459" s="98"/>
      <c r="Q459" s="95"/>
    </row>
    <row r="460">
      <c r="A460" s="98"/>
      <c r="D460" s="95"/>
      <c r="L460" s="50"/>
      <c r="O460" s="98"/>
      <c r="Q460" s="95"/>
    </row>
    <row r="461">
      <c r="A461" s="98"/>
      <c r="D461" s="95"/>
      <c r="L461" s="50"/>
      <c r="O461" s="98"/>
      <c r="Q461" s="95"/>
    </row>
    <row r="462">
      <c r="A462" s="98"/>
      <c r="D462" s="95"/>
      <c r="L462" s="50"/>
      <c r="O462" s="98"/>
      <c r="Q462" s="95"/>
    </row>
    <row r="463">
      <c r="A463" s="98"/>
      <c r="D463" s="95"/>
      <c r="L463" s="50"/>
      <c r="O463" s="98"/>
      <c r="Q463" s="95"/>
    </row>
    <row r="464">
      <c r="A464" s="98"/>
      <c r="D464" s="95"/>
      <c r="L464" s="50"/>
      <c r="O464" s="98"/>
      <c r="Q464" s="95"/>
    </row>
    <row r="465">
      <c r="A465" s="98"/>
      <c r="D465" s="95"/>
      <c r="L465" s="50"/>
      <c r="O465" s="98"/>
      <c r="Q465" s="95"/>
    </row>
    <row r="466">
      <c r="A466" s="98"/>
      <c r="D466" s="95"/>
      <c r="L466" s="50"/>
      <c r="O466" s="98"/>
      <c r="Q466" s="95"/>
    </row>
    <row r="467">
      <c r="A467" s="98"/>
      <c r="D467" s="95"/>
      <c r="L467" s="50"/>
      <c r="O467" s="98"/>
      <c r="Q467" s="95"/>
    </row>
    <row r="468">
      <c r="A468" s="98"/>
      <c r="D468" s="95"/>
      <c r="L468" s="50"/>
      <c r="O468" s="98"/>
      <c r="Q468" s="95"/>
    </row>
    <row r="469">
      <c r="A469" s="98"/>
      <c r="D469" s="95"/>
      <c r="L469" s="50"/>
      <c r="O469" s="98"/>
      <c r="Q469" s="95"/>
    </row>
    <row r="470">
      <c r="A470" s="98"/>
      <c r="D470" s="95"/>
      <c r="L470" s="50"/>
      <c r="O470" s="98"/>
      <c r="Q470" s="95"/>
    </row>
    <row r="471">
      <c r="A471" s="98"/>
      <c r="D471" s="95"/>
      <c r="L471" s="50"/>
      <c r="O471" s="98"/>
      <c r="Q471" s="95"/>
    </row>
    <row r="472">
      <c r="A472" s="98"/>
      <c r="D472" s="95"/>
      <c r="L472" s="50"/>
      <c r="O472" s="98"/>
      <c r="Q472" s="95"/>
    </row>
    <row r="473">
      <c r="A473" s="98"/>
      <c r="D473" s="95"/>
      <c r="L473" s="50"/>
      <c r="O473" s="98"/>
      <c r="Q473" s="95"/>
    </row>
    <row r="474">
      <c r="A474" s="98"/>
      <c r="D474" s="95"/>
      <c r="L474" s="50"/>
      <c r="O474" s="98"/>
      <c r="Q474" s="95"/>
    </row>
    <row r="475">
      <c r="A475" s="98"/>
      <c r="D475" s="95"/>
      <c r="L475" s="50"/>
      <c r="O475" s="98"/>
      <c r="Q475" s="95"/>
    </row>
    <row r="476">
      <c r="A476" s="98"/>
      <c r="D476" s="95"/>
      <c r="L476" s="50"/>
      <c r="O476" s="98"/>
      <c r="Q476" s="95"/>
    </row>
    <row r="477">
      <c r="A477" s="98"/>
      <c r="D477" s="95"/>
      <c r="L477" s="50"/>
      <c r="O477" s="98"/>
      <c r="Q477" s="95"/>
    </row>
    <row r="478">
      <c r="A478" s="98"/>
      <c r="D478" s="95"/>
      <c r="L478" s="50"/>
      <c r="O478" s="98"/>
      <c r="Q478" s="95"/>
    </row>
    <row r="479">
      <c r="A479" s="98"/>
      <c r="D479" s="95"/>
      <c r="L479" s="50"/>
      <c r="O479" s="98"/>
      <c r="Q479" s="95"/>
    </row>
    <row r="480">
      <c r="A480" s="98"/>
      <c r="D480" s="95"/>
      <c r="L480" s="50"/>
      <c r="O480" s="98"/>
      <c r="Q480" s="95"/>
    </row>
    <row r="481">
      <c r="A481" s="98"/>
      <c r="D481" s="95"/>
      <c r="L481" s="50"/>
      <c r="O481" s="98"/>
      <c r="Q481" s="95"/>
    </row>
    <row r="482">
      <c r="A482" s="98"/>
      <c r="D482" s="95"/>
      <c r="L482" s="50"/>
      <c r="O482" s="98"/>
      <c r="Q482" s="95"/>
    </row>
    <row r="483">
      <c r="A483" s="98"/>
      <c r="D483" s="95"/>
      <c r="L483" s="50"/>
      <c r="O483" s="98"/>
      <c r="Q483" s="95"/>
    </row>
    <row r="484">
      <c r="A484" s="98"/>
      <c r="D484" s="95"/>
      <c r="L484" s="50"/>
      <c r="O484" s="98"/>
      <c r="Q484" s="95"/>
    </row>
    <row r="485">
      <c r="A485" s="98"/>
      <c r="D485" s="95"/>
      <c r="L485" s="50"/>
      <c r="O485" s="98"/>
      <c r="Q485" s="95"/>
    </row>
    <row r="486">
      <c r="A486" s="98"/>
      <c r="D486" s="95"/>
      <c r="L486" s="50"/>
      <c r="O486" s="98"/>
      <c r="Q486" s="95"/>
    </row>
    <row r="487">
      <c r="A487" s="98"/>
      <c r="D487" s="95"/>
      <c r="L487" s="50"/>
      <c r="O487" s="98"/>
      <c r="Q487" s="95"/>
    </row>
    <row r="488">
      <c r="A488" s="98"/>
      <c r="D488" s="95"/>
      <c r="L488" s="50"/>
      <c r="O488" s="98"/>
      <c r="Q488" s="95"/>
    </row>
    <row r="489">
      <c r="A489" s="98"/>
      <c r="D489" s="95"/>
      <c r="L489" s="50"/>
      <c r="O489" s="98"/>
      <c r="Q489" s="95"/>
    </row>
    <row r="490">
      <c r="A490" s="98"/>
      <c r="D490" s="95"/>
      <c r="L490" s="50"/>
      <c r="O490" s="98"/>
      <c r="Q490" s="95"/>
    </row>
    <row r="491">
      <c r="A491" s="98"/>
      <c r="D491" s="95"/>
      <c r="L491" s="50"/>
      <c r="O491" s="98"/>
      <c r="Q491" s="95"/>
    </row>
    <row r="492">
      <c r="A492" s="98"/>
      <c r="D492" s="95"/>
      <c r="L492" s="50"/>
      <c r="O492" s="98"/>
      <c r="Q492" s="95"/>
    </row>
    <row r="493">
      <c r="A493" s="98"/>
      <c r="D493" s="95"/>
      <c r="L493" s="50"/>
      <c r="O493" s="98"/>
      <c r="Q493" s="95"/>
    </row>
    <row r="494">
      <c r="A494" s="98"/>
      <c r="D494" s="95"/>
      <c r="L494" s="50"/>
      <c r="O494" s="98"/>
      <c r="Q494" s="95"/>
    </row>
    <row r="495">
      <c r="A495" s="98"/>
      <c r="D495" s="95"/>
      <c r="L495" s="50"/>
      <c r="O495" s="98"/>
      <c r="Q495" s="95"/>
    </row>
    <row r="496">
      <c r="A496" s="98"/>
      <c r="D496" s="95"/>
      <c r="L496" s="50"/>
      <c r="O496" s="98"/>
      <c r="Q496" s="95"/>
    </row>
    <row r="497">
      <c r="A497" s="98"/>
      <c r="D497" s="95"/>
      <c r="L497" s="50"/>
      <c r="O497" s="98"/>
      <c r="Q497" s="95"/>
    </row>
    <row r="498">
      <c r="A498" s="98"/>
      <c r="D498" s="95"/>
      <c r="L498" s="50"/>
      <c r="O498" s="98"/>
      <c r="Q498" s="95"/>
    </row>
    <row r="499">
      <c r="A499" s="98"/>
      <c r="D499" s="95"/>
      <c r="L499" s="50"/>
      <c r="O499" s="98"/>
      <c r="Q499" s="95"/>
    </row>
    <row r="500">
      <c r="A500" s="98"/>
      <c r="D500" s="95"/>
      <c r="L500" s="50"/>
      <c r="O500" s="98"/>
      <c r="Q500" s="95"/>
    </row>
    <row r="501">
      <c r="A501" s="98"/>
      <c r="D501" s="95"/>
      <c r="L501" s="50"/>
      <c r="O501" s="98"/>
      <c r="Q501" s="95"/>
    </row>
    <row r="502">
      <c r="A502" s="98"/>
      <c r="D502" s="95"/>
      <c r="L502" s="50"/>
      <c r="O502" s="98"/>
      <c r="Q502" s="95"/>
    </row>
    <row r="503">
      <c r="A503" s="98"/>
      <c r="D503" s="95"/>
      <c r="L503" s="50"/>
      <c r="O503" s="98"/>
      <c r="Q503" s="95"/>
    </row>
    <row r="504">
      <c r="A504" s="98"/>
      <c r="D504" s="95"/>
      <c r="L504" s="50"/>
      <c r="O504" s="98"/>
      <c r="Q504" s="95"/>
    </row>
    <row r="505">
      <c r="A505" s="98"/>
      <c r="D505" s="95"/>
      <c r="L505" s="50"/>
      <c r="O505" s="98"/>
      <c r="Q505" s="95"/>
    </row>
    <row r="506">
      <c r="A506" s="98"/>
      <c r="D506" s="95"/>
      <c r="L506" s="50"/>
      <c r="O506" s="98"/>
      <c r="Q506" s="95"/>
    </row>
    <row r="507">
      <c r="A507" s="98"/>
      <c r="D507" s="95"/>
      <c r="L507" s="50"/>
      <c r="O507" s="98"/>
      <c r="Q507" s="95"/>
    </row>
    <row r="508">
      <c r="A508" s="98"/>
      <c r="D508" s="95"/>
      <c r="L508" s="50"/>
      <c r="O508" s="98"/>
      <c r="Q508" s="95"/>
    </row>
    <row r="509">
      <c r="A509" s="98"/>
      <c r="D509" s="95"/>
      <c r="L509" s="50"/>
      <c r="O509" s="98"/>
      <c r="Q509" s="95"/>
    </row>
    <row r="510">
      <c r="A510" s="98"/>
      <c r="D510" s="95"/>
      <c r="L510" s="50"/>
      <c r="O510" s="98"/>
      <c r="Q510" s="95"/>
    </row>
    <row r="511">
      <c r="A511" s="98"/>
      <c r="D511" s="95"/>
      <c r="L511" s="50"/>
      <c r="O511" s="98"/>
      <c r="Q511" s="95"/>
    </row>
    <row r="512">
      <c r="A512" s="98"/>
      <c r="D512" s="95"/>
      <c r="L512" s="50"/>
      <c r="O512" s="98"/>
      <c r="Q512" s="95"/>
    </row>
    <row r="513">
      <c r="A513" s="98"/>
      <c r="D513" s="95"/>
      <c r="L513" s="50"/>
      <c r="O513" s="98"/>
      <c r="Q513" s="95"/>
    </row>
    <row r="514">
      <c r="A514" s="98"/>
      <c r="D514" s="95"/>
      <c r="L514" s="50"/>
      <c r="O514" s="98"/>
      <c r="Q514" s="95"/>
    </row>
    <row r="515">
      <c r="A515" s="98"/>
      <c r="D515" s="95"/>
      <c r="L515" s="50"/>
      <c r="O515" s="98"/>
      <c r="Q515" s="95"/>
    </row>
    <row r="516">
      <c r="A516" s="98"/>
      <c r="D516" s="95"/>
      <c r="L516" s="50"/>
      <c r="O516" s="98"/>
      <c r="Q516" s="95"/>
    </row>
    <row r="517">
      <c r="A517" s="98"/>
      <c r="D517" s="95"/>
      <c r="L517" s="50"/>
      <c r="O517" s="98"/>
      <c r="Q517" s="95"/>
    </row>
    <row r="518">
      <c r="A518" s="98"/>
      <c r="D518" s="95"/>
      <c r="L518" s="50"/>
      <c r="O518" s="98"/>
      <c r="Q518" s="95"/>
    </row>
    <row r="519">
      <c r="A519" s="98"/>
      <c r="D519" s="95"/>
      <c r="L519" s="50"/>
      <c r="O519" s="98"/>
      <c r="Q519" s="95"/>
    </row>
    <row r="520">
      <c r="A520" s="98"/>
      <c r="D520" s="95"/>
      <c r="L520" s="50"/>
      <c r="O520" s="98"/>
      <c r="Q520" s="95"/>
    </row>
    <row r="521">
      <c r="A521" s="98"/>
      <c r="D521" s="95"/>
      <c r="L521" s="50"/>
      <c r="O521" s="98"/>
      <c r="Q521" s="95"/>
    </row>
    <row r="522">
      <c r="A522" s="98"/>
      <c r="D522" s="95"/>
      <c r="L522" s="50"/>
      <c r="O522" s="98"/>
      <c r="Q522" s="95"/>
    </row>
    <row r="523">
      <c r="A523" s="98"/>
      <c r="D523" s="95"/>
      <c r="L523" s="50"/>
      <c r="O523" s="98"/>
      <c r="Q523" s="95"/>
    </row>
    <row r="524">
      <c r="A524" s="98"/>
      <c r="D524" s="95"/>
      <c r="L524" s="50"/>
      <c r="O524" s="98"/>
      <c r="Q524" s="95"/>
    </row>
    <row r="525">
      <c r="A525" s="98"/>
      <c r="D525" s="95"/>
      <c r="L525" s="50"/>
      <c r="O525" s="98"/>
      <c r="Q525" s="95"/>
    </row>
    <row r="526">
      <c r="A526" s="98"/>
      <c r="D526" s="95"/>
      <c r="L526" s="50"/>
      <c r="O526" s="98"/>
      <c r="Q526" s="95"/>
    </row>
    <row r="527">
      <c r="A527" s="98"/>
      <c r="D527" s="95"/>
      <c r="L527" s="50"/>
      <c r="O527" s="98"/>
      <c r="Q527" s="95"/>
    </row>
    <row r="528">
      <c r="A528" s="98"/>
      <c r="D528" s="95"/>
      <c r="L528" s="50"/>
      <c r="O528" s="98"/>
      <c r="Q528" s="95"/>
    </row>
    <row r="529">
      <c r="A529" s="98"/>
      <c r="D529" s="95"/>
      <c r="L529" s="50"/>
      <c r="O529" s="98"/>
      <c r="Q529" s="95"/>
    </row>
    <row r="530">
      <c r="A530" s="98"/>
      <c r="D530" s="95"/>
      <c r="L530" s="50"/>
      <c r="O530" s="98"/>
      <c r="Q530" s="95"/>
    </row>
    <row r="531">
      <c r="A531" s="98"/>
      <c r="D531" s="95"/>
      <c r="L531" s="50"/>
      <c r="O531" s="98"/>
      <c r="Q531" s="95"/>
    </row>
    <row r="532">
      <c r="A532" s="98"/>
      <c r="D532" s="95"/>
      <c r="L532" s="50"/>
      <c r="O532" s="98"/>
      <c r="Q532" s="95"/>
    </row>
    <row r="533">
      <c r="A533" s="98"/>
      <c r="D533" s="95"/>
      <c r="L533" s="50"/>
      <c r="O533" s="98"/>
      <c r="Q533" s="95"/>
    </row>
    <row r="534">
      <c r="A534" s="98"/>
      <c r="D534" s="95"/>
      <c r="L534" s="50"/>
      <c r="O534" s="98"/>
      <c r="Q534" s="95"/>
    </row>
    <row r="535">
      <c r="A535" s="98"/>
      <c r="D535" s="95"/>
      <c r="L535" s="50"/>
      <c r="O535" s="98"/>
      <c r="Q535" s="95"/>
    </row>
    <row r="536">
      <c r="A536" s="98"/>
      <c r="D536" s="95"/>
      <c r="L536" s="50"/>
      <c r="O536" s="98"/>
      <c r="Q536" s="95"/>
    </row>
    <row r="537">
      <c r="A537" s="98"/>
      <c r="D537" s="95"/>
      <c r="L537" s="50"/>
      <c r="O537" s="98"/>
      <c r="Q537" s="95"/>
    </row>
    <row r="538">
      <c r="A538" s="98"/>
      <c r="D538" s="95"/>
      <c r="L538" s="50"/>
      <c r="O538" s="98"/>
      <c r="Q538" s="95"/>
    </row>
    <row r="539">
      <c r="A539" s="98"/>
      <c r="D539" s="95"/>
      <c r="L539" s="50"/>
      <c r="O539" s="98"/>
      <c r="Q539" s="95"/>
    </row>
    <row r="540">
      <c r="A540" s="98"/>
      <c r="D540" s="95"/>
      <c r="L540" s="50"/>
      <c r="O540" s="98"/>
      <c r="Q540" s="95"/>
    </row>
    <row r="541">
      <c r="A541" s="98"/>
      <c r="D541" s="95"/>
      <c r="L541" s="50"/>
      <c r="O541" s="98"/>
      <c r="Q541" s="95"/>
    </row>
    <row r="542">
      <c r="A542" s="98"/>
      <c r="D542" s="95"/>
      <c r="L542" s="50"/>
      <c r="O542" s="98"/>
      <c r="Q542" s="95"/>
    </row>
    <row r="543">
      <c r="A543" s="98"/>
      <c r="D543" s="95"/>
      <c r="L543" s="50"/>
      <c r="O543" s="98"/>
      <c r="Q543" s="95"/>
    </row>
    <row r="544">
      <c r="A544" s="98"/>
      <c r="D544" s="95"/>
      <c r="L544" s="50"/>
      <c r="O544" s="98"/>
      <c r="Q544" s="95"/>
    </row>
    <row r="545">
      <c r="A545" s="98"/>
      <c r="D545" s="95"/>
      <c r="L545" s="50"/>
      <c r="O545" s="98"/>
      <c r="Q545" s="95"/>
    </row>
    <row r="546">
      <c r="A546" s="98"/>
      <c r="D546" s="95"/>
      <c r="L546" s="50"/>
      <c r="O546" s="98"/>
      <c r="Q546" s="95"/>
    </row>
    <row r="547">
      <c r="A547" s="98"/>
      <c r="D547" s="95"/>
      <c r="L547" s="50"/>
      <c r="O547" s="98"/>
      <c r="Q547" s="95"/>
    </row>
    <row r="548">
      <c r="A548" s="98"/>
      <c r="D548" s="95"/>
      <c r="L548" s="50"/>
      <c r="O548" s="98"/>
      <c r="Q548" s="95"/>
    </row>
    <row r="549">
      <c r="A549" s="98"/>
      <c r="D549" s="95"/>
      <c r="L549" s="50"/>
      <c r="O549" s="98"/>
      <c r="Q549" s="95"/>
    </row>
    <row r="550">
      <c r="A550" s="98"/>
      <c r="D550" s="95"/>
      <c r="L550" s="50"/>
      <c r="O550" s="98"/>
      <c r="Q550" s="95"/>
    </row>
    <row r="551">
      <c r="A551" s="98"/>
      <c r="D551" s="95"/>
      <c r="L551" s="50"/>
      <c r="O551" s="98"/>
      <c r="Q551" s="95"/>
    </row>
    <row r="552">
      <c r="A552" s="98"/>
      <c r="D552" s="95"/>
      <c r="L552" s="50"/>
      <c r="O552" s="98"/>
      <c r="Q552" s="95"/>
    </row>
    <row r="553">
      <c r="A553" s="98"/>
      <c r="D553" s="95"/>
      <c r="L553" s="50"/>
      <c r="O553" s="98"/>
      <c r="Q553" s="95"/>
    </row>
    <row r="554">
      <c r="A554" s="98"/>
      <c r="D554" s="95"/>
      <c r="L554" s="50"/>
      <c r="O554" s="98"/>
      <c r="Q554" s="95"/>
    </row>
    <row r="555">
      <c r="A555" s="98"/>
      <c r="D555" s="95"/>
      <c r="L555" s="50"/>
      <c r="O555" s="98"/>
      <c r="Q555" s="95"/>
    </row>
    <row r="556">
      <c r="A556" s="98"/>
      <c r="D556" s="95"/>
      <c r="L556" s="50"/>
      <c r="O556" s="98"/>
      <c r="Q556" s="95"/>
    </row>
    <row r="557">
      <c r="A557" s="98"/>
      <c r="D557" s="95"/>
      <c r="L557" s="50"/>
      <c r="O557" s="98"/>
      <c r="Q557" s="95"/>
    </row>
    <row r="558">
      <c r="A558" s="98"/>
      <c r="D558" s="95"/>
      <c r="L558" s="50"/>
      <c r="O558" s="98"/>
      <c r="Q558" s="95"/>
    </row>
    <row r="559">
      <c r="A559" s="98"/>
      <c r="D559" s="95"/>
      <c r="L559" s="50"/>
      <c r="O559" s="98"/>
      <c r="Q559" s="95"/>
    </row>
    <row r="560">
      <c r="A560" s="98"/>
      <c r="D560" s="95"/>
      <c r="L560" s="50"/>
      <c r="O560" s="98"/>
      <c r="Q560" s="95"/>
    </row>
    <row r="561">
      <c r="A561" s="98"/>
      <c r="D561" s="95"/>
      <c r="L561" s="50"/>
      <c r="O561" s="98"/>
      <c r="Q561" s="95"/>
    </row>
    <row r="562">
      <c r="A562" s="98"/>
      <c r="D562" s="95"/>
      <c r="L562" s="50"/>
      <c r="O562" s="98"/>
      <c r="Q562" s="95"/>
    </row>
    <row r="563">
      <c r="A563" s="98"/>
      <c r="D563" s="95"/>
      <c r="L563" s="50"/>
      <c r="O563" s="98"/>
      <c r="Q563" s="95"/>
    </row>
    <row r="564">
      <c r="A564" s="98"/>
      <c r="D564" s="95"/>
      <c r="L564" s="50"/>
      <c r="O564" s="98"/>
      <c r="Q564" s="95"/>
    </row>
    <row r="565">
      <c r="A565" s="98"/>
      <c r="D565" s="95"/>
      <c r="L565" s="50"/>
      <c r="O565" s="98"/>
      <c r="Q565" s="95"/>
    </row>
    <row r="566">
      <c r="A566" s="98"/>
      <c r="D566" s="95"/>
      <c r="L566" s="50"/>
      <c r="O566" s="98"/>
      <c r="Q566" s="95"/>
    </row>
    <row r="567">
      <c r="A567" s="98"/>
      <c r="D567" s="95"/>
      <c r="L567" s="50"/>
      <c r="O567" s="98"/>
      <c r="Q567" s="95"/>
    </row>
    <row r="568">
      <c r="A568" s="98"/>
      <c r="D568" s="95"/>
      <c r="L568" s="50"/>
      <c r="O568" s="98"/>
      <c r="Q568" s="95"/>
    </row>
    <row r="569">
      <c r="A569" s="98"/>
      <c r="D569" s="95"/>
      <c r="L569" s="50"/>
      <c r="O569" s="98"/>
      <c r="Q569" s="95"/>
    </row>
    <row r="570">
      <c r="A570" s="98"/>
      <c r="D570" s="95"/>
      <c r="L570" s="50"/>
      <c r="O570" s="98"/>
      <c r="Q570" s="95"/>
    </row>
    <row r="571">
      <c r="A571" s="98"/>
      <c r="D571" s="95"/>
      <c r="L571" s="50"/>
      <c r="O571" s="98"/>
      <c r="Q571" s="95"/>
    </row>
    <row r="572">
      <c r="A572" s="98"/>
      <c r="D572" s="95"/>
      <c r="L572" s="50"/>
      <c r="O572" s="98"/>
      <c r="Q572" s="95"/>
    </row>
    <row r="573">
      <c r="A573" s="98"/>
      <c r="D573" s="95"/>
      <c r="L573" s="50"/>
      <c r="O573" s="98"/>
      <c r="Q573" s="95"/>
    </row>
    <row r="574">
      <c r="A574" s="98"/>
      <c r="D574" s="95"/>
      <c r="L574" s="50"/>
      <c r="O574" s="98"/>
      <c r="Q574" s="95"/>
    </row>
    <row r="575">
      <c r="A575" s="98"/>
      <c r="D575" s="95"/>
      <c r="L575" s="50"/>
      <c r="O575" s="98"/>
      <c r="Q575" s="95"/>
    </row>
    <row r="576">
      <c r="A576" s="98"/>
      <c r="D576" s="95"/>
      <c r="L576" s="50"/>
      <c r="O576" s="98"/>
      <c r="Q576" s="95"/>
    </row>
    <row r="577">
      <c r="A577" s="98"/>
      <c r="D577" s="95"/>
      <c r="L577" s="50"/>
      <c r="O577" s="98"/>
      <c r="Q577" s="95"/>
    </row>
    <row r="578">
      <c r="A578" s="98"/>
      <c r="D578" s="95"/>
      <c r="L578" s="50"/>
      <c r="O578" s="98"/>
      <c r="Q578" s="95"/>
    </row>
    <row r="579">
      <c r="A579" s="98"/>
      <c r="D579" s="95"/>
      <c r="L579" s="50"/>
      <c r="O579" s="98"/>
      <c r="Q579" s="95"/>
    </row>
    <row r="580">
      <c r="A580" s="98"/>
      <c r="D580" s="95"/>
      <c r="L580" s="50"/>
      <c r="O580" s="98"/>
      <c r="Q580" s="95"/>
    </row>
    <row r="581">
      <c r="A581" s="98"/>
      <c r="D581" s="95"/>
      <c r="L581" s="50"/>
      <c r="O581" s="98"/>
      <c r="Q581" s="95"/>
    </row>
    <row r="582">
      <c r="A582" s="98"/>
      <c r="D582" s="95"/>
      <c r="L582" s="50"/>
      <c r="O582" s="98"/>
      <c r="Q582" s="95"/>
    </row>
    <row r="583">
      <c r="A583" s="98"/>
      <c r="D583" s="95"/>
      <c r="L583" s="50"/>
      <c r="O583" s="98"/>
      <c r="Q583" s="95"/>
    </row>
    <row r="584">
      <c r="A584" s="98"/>
      <c r="D584" s="95"/>
      <c r="L584" s="50"/>
      <c r="O584" s="98"/>
      <c r="Q584" s="95"/>
    </row>
    <row r="585">
      <c r="A585" s="98"/>
      <c r="D585" s="95"/>
      <c r="L585" s="50"/>
      <c r="O585" s="98"/>
      <c r="Q585" s="95"/>
    </row>
    <row r="586">
      <c r="A586" s="98"/>
      <c r="D586" s="95"/>
      <c r="L586" s="50"/>
      <c r="O586" s="98"/>
      <c r="Q586" s="95"/>
    </row>
    <row r="587">
      <c r="A587" s="98"/>
      <c r="D587" s="95"/>
      <c r="L587" s="50"/>
      <c r="O587" s="98"/>
      <c r="Q587" s="95"/>
    </row>
    <row r="588">
      <c r="A588" s="98"/>
      <c r="D588" s="95"/>
      <c r="L588" s="50"/>
      <c r="O588" s="98"/>
      <c r="Q588" s="95"/>
    </row>
    <row r="589">
      <c r="A589" s="98"/>
      <c r="D589" s="95"/>
      <c r="L589" s="50"/>
      <c r="O589" s="98"/>
      <c r="Q589" s="95"/>
    </row>
    <row r="590">
      <c r="A590" s="98"/>
      <c r="D590" s="95"/>
      <c r="L590" s="50"/>
      <c r="O590" s="98"/>
      <c r="Q590" s="95"/>
    </row>
    <row r="591">
      <c r="A591" s="98"/>
      <c r="D591" s="95"/>
      <c r="L591" s="50"/>
      <c r="O591" s="98"/>
      <c r="Q591" s="95"/>
    </row>
    <row r="592">
      <c r="A592" s="98"/>
      <c r="D592" s="95"/>
      <c r="L592" s="50"/>
      <c r="O592" s="98"/>
      <c r="Q592" s="95"/>
    </row>
    <row r="593">
      <c r="A593" s="98"/>
      <c r="D593" s="95"/>
      <c r="L593" s="50"/>
      <c r="O593" s="98"/>
      <c r="Q593" s="95"/>
    </row>
    <row r="594">
      <c r="A594" s="98"/>
      <c r="D594" s="95"/>
      <c r="L594" s="50"/>
      <c r="O594" s="98"/>
      <c r="Q594" s="95"/>
    </row>
    <row r="595">
      <c r="A595" s="98"/>
      <c r="D595" s="95"/>
      <c r="L595" s="50"/>
      <c r="O595" s="98"/>
      <c r="Q595" s="95"/>
    </row>
    <row r="596">
      <c r="A596" s="98"/>
      <c r="D596" s="95"/>
      <c r="L596" s="50"/>
      <c r="O596" s="98"/>
      <c r="Q596" s="95"/>
    </row>
    <row r="597">
      <c r="A597" s="98"/>
      <c r="D597" s="95"/>
      <c r="L597" s="50"/>
      <c r="O597" s="98"/>
      <c r="Q597" s="95"/>
    </row>
    <row r="598">
      <c r="A598" s="98"/>
      <c r="D598" s="95"/>
      <c r="L598" s="50"/>
      <c r="O598" s="98"/>
      <c r="Q598" s="95"/>
    </row>
    <row r="599">
      <c r="A599" s="98"/>
      <c r="D599" s="95"/>
      <c r="L599" s="50"/>
      <c r="O599" s="98"/>
      <c r="Q599" s="95"/>
    </row>
    <row r="600">
      <c r="A600" s="98"/>
      <c r="D600" s="95"/>
      <c r="L600" s="50"/>
      <c r="O600" s="98"/>
      <c r="Q600" s="95"/>
    </row>
    <row r="601">
      <c r="A601" s="98"/>
      <c r="D601" s="95"/>
      <c r="L601" s="50"/>
      <c r="O601" s="98"/>
      <c r="Q601" s="95"/>
    </row>
    <row r="602">
      <c r="A602" s="98"/>
      <c r="D602" s="95"/>
      <c r="L602" s="50"/>
      <c r="O602" s="98"/>
      <c r="Q602" s="95"/>
    </row>
    <row r="603">
      <c r="A603" s="98"/>
      <c r="D603" s="95"/>
      <c r="L603" s="50"/>
      <c r="O603" s="98"/>
      <c r="Q603" s="95"/>
    </row>
    <row r="604">
      <c r="A604" s="98"/>
      <c r="D604" s="95"/>
      <c r="L604" s="50"/>
      <c r="O604" s="98"/>
      <c r="Q604" s="95"/>
    </row>
    <row r="605">
      <c r="A605" s="98"/>
      <c r="D605" s="95"/>
      <c r="L605" s="50"/>
      <c r="O605" s="98"/>
      <c r="Q605" s="95"/>
    </row>
    <row r="606">
      <c r="A606" s="98"/>
      <c r="D606" s="95"/>
      <c r="L606" s="50"/>
      <c r="O606" s="98"/>
      <c r="Q606" s="95"/>
    </row>
    <row r="607">
      <c r="A607" s="98"/>
      <c r="D607" s="95"/>
      <c r="L607" s="50"/>
      <c r="O607" s="98"/>
      <c r="Q607" s="95"/>
    </row>
    <row r="608">
      <c r="A608" s="98"/>
      <c r="D608" s="95"/>
      <c r="L608" s="50"/>
      <c r="O608" s="98"/>
      <c r="Q608" s="95"/>
    </row>
    <row r="609">
      <c r="A609" s="98"/>
      <c r="D609" s="95"/>
      <c r="L609" s="50"/>
      <c r="O609" s="98"/>
      <c r="Q609" s="95"/>
    </row>
    <row r="610">
      <c r="A610" s="98"/>
      <c r="D610" s="95"/>
      <c r="L610" s="50"/>
      <c r="O610" s="98"/>
      <c r="Q610" s="95"/>
    </row>
    <row r="611">
      <c r="A611" s="98"/>
      <c r="D611" s="95"/>
      <c r="L611" s="50"/>
      <c r="O611" s="98"/>
      <c r="Q611" s="95"/>
    </row>
    <row r="612">
      <c r="A612" s="98"/>
      <c r="D612" s="95"/>
      <c r="L612" s="50"/>
      <c r="O612" s="98"/>
      <c r="Q612" s="95"/>
    </row>
    <row r="613">
      <c r="A613" s="98"/>
      <c r="D613" s="95"/>
      <c r="L613" s="50"/>
      <c r="O613" s="98"/>
      <c r="Q613" s="95"/>
    </row>
    <row r="614">
      <c r="A614" s="98"/>
      <c r="D614" s="95"/>
      <c r="L614" s="50"/>
      <c r="O614" s="98"/>
      <c r="Q614" s="95"/>
    </row>
    <row r="615">
      <c r="A615" s="98"/>
      <c r="D615" s="95"/>
      <c r="L615" s="50"/>
      <c r="O615" s="98"/>
      <c r="Q615" s="95"/>
    </row>
    <row r="616">
      <c r="A616" s="98"/>
      <c r="D616" s="95"/>
      <c r="L616" s="50"/>
      <c r="O616" s="98"/>
      <c r="Q616" s="95"/>
    </row>
    <row r="617">
      <c r="A617" s="98"/>
      <c r="D617" s="95"/>
      <c r="L617" s="50"/>
      <c r="O617" s="98"/>
      <c r="Q617" s="95"/>
    </row>
    <row r="618">
      <c r="A618" s="98"/>
      <c r="D618" s="95"/>
      <c r="L618" s="50"/>
      <c r="O618" s="98"/>
      <c r="Q618" s="95"/>
    </row>
    <row r="619">
      <c r="A619" s="98"/>
      <c r="D619" s="95"/>
      <c r="L619" s="50"/>
      <c r="O619" s="98"/>
      <c r="Q619" s="95"/>
    </row>
    <row r="620">
      <c r="A620" s="98"/>
      <c r="D620" s="95"/>
      <c r="L620" s="50"/>
      <c r="O620" s="98"/>
      <c r="Q620" s="95"/>
    </row>
    <row r="621">
      <c r="A621" s="98"/>
      <c r="D621" s="95"/>
      <c r="L621" s="50"/>
      <c r="O621" s="98"/>
      <c r="Q621" s="95"/>
    </row>
    <row r="622">
      <c r="A622" s="98"/>
      <c r="D622" s="95"/>
      <c r="L622" s="50"/>
      <c r="O622" s="98"/>
      <c r="Q622" s="95"/>
    </row>
    <row r="623">
      <c r="A623" s="98"/>
      <c r="D623" s="95"/>
      <c r="L623" s="50"/>
      <c r="O623" s="98"/>
      <c r="Q623" s="95"/>
    </row>
    <row r="624">
      <c r="A624" s="98"/>
      <c r="D624" s="95"/>
      <c r="L624" s="50"/>
      <c r="O624" s="98"/>
      <c r="Q624" s="95"/>
    </row>
    <row r="625">
      <c r="A625" s="98"/>
      <c r="D625" s="95"/>
      <c r="L625" s="50"/>
      <c r="O625" s="98"/>
      <c r="Q625" s="95"/>
    </row>
    <row r="626">
      <c r="A626" s="98"/>
      <c r="D626" s="95"/>
      <c r="L626" s="50"/>
      <c r="O626" s="98"/>
      <c r="Q626" s="95"/>
    </row>
    <row r="627">
      <c r="A627" s="98"/>
      <c r="D627" s="95"/>
      <c r="L627" s="50"/>
      <c r="O627" s="98"/>
      <c r="Q627" s="95"/>
    </row>
    <row r="628">
      <c r="A628" s="98"/>
      <c r="D628" s="95"/>
      <c r="L628" s="50"/>
      <c r="O628" s="98"/>
      <c r="Q628" s="95"/>
    </row>
    <row r="629">
      <c r="A629" s="98"/>
      <c r="D629" s="95"/>
      <c r="L629" s="50"/>
      <c r="O629" s="98"/>
      <c r="Q629" s="95"/>
    </row>
    <row r="630">
      <c r="A630" s="98"/>
      <c r="D630" s="95"/>
      <c r="L630" s="50"/>
      <c r="O630" s="98"/>
      <c r="Q630" s="95"/>
    </row>
    <row r="631">
      <c r="A631" s="98"/>
      <c r="D631" s="95"/>
      <c r="L631" s="50"/>
      <c r="O631" s="98"/>
      <c r="Q631" s="95"/>
    </row>
    <row r="632">
      <c r="A632" s="98"/>
      <c r="D632" s="95"/>
      <c r="L632" s="50"/>
      <c r="O632" s="98"/>
      <c r="Q632" s="95"/>
    </row>
    <row r="633">
      <c r="A633" s="98"/>
      <c r="D633" s="95"/>
      <c r="L633" s="50"/>
      <c r="O633" s="98"/>
      <c r="Q633" s="95"/>
    </row>
    <row r="634">
      <c r="A634" s="98"/>
      <c r="D634" s="95"/>
      <c r="L634" s="50"/>
      <c r="O634" s="98"/>
      <c r="Q634" s="95"/>
    </row>
    <row r="635">
      <c r="A635" s="98"/>
      <c r="D635" s="95"/>
      <c r="L635" s="50"/>
      <c r="O635" s="98"/>
      <c r="Q635" s="95"/>
    </row>
    <row r="636">
      <c r="A636" s="98"/>
      <c r="D636" s="95"/>
      <c r="L636" s="50"/>
      <c r="O636" s="98"/>
      <c r="Q636" s="95"/>
    </row>
    <row r="637">
      <c r="A637" s="98"/>
      <c r="D637" s="95"/>
      <c r="L637" s="50"/>
      <c r="O637" s="98"/>
      <c r="Q637" s="95"/>
    </row>
    <row r="638">
      <c r="A638" s="98"/>
      <c r="D638" s="95"/>
      <c r="L638" s="50"/>
      <c r="O638" s="98"/>
      <c r="Q638" s="95"/>
    </row>
    <row r="639">
      <c r="A639" s="98"/>
      <c r="D639" s="95"/>
      <c r="L639" s="50"/>
      <c r="O639" s="98"/>
      <c r="Q639" s="95"/>
    </row>
    <row r="640">
      <c r="A640" s="98"/>
      <c r="D640" s="95"/>
      <c r="L640" s="50"/>
      <c r="O640" s="98"/>
      <c r="Q640" s="95"/>
    </row>
    <row r="641">
      <c r="A641" s="98"/>
      <c r="D641" s="95"/>
      <c r="L641" s="50"/>
      <c r="O641" s="98"/>
      <c r="Q641" s="95"/>
    </row>
    <row r="642">
      <c r="A642" s="98"/>
      <c r="D642" s="95"/>
      <c r="L642" s="50"/>
      <c r="O642" s="98"/>
      <c r="Q642" s="95"/>
    </row>
    <row r="643">
      <c r="A643" s="98"/>
      <c r="D643" s="95"/>
      <c r="L643" s="50"/>
      <c r="O643" s="98"/>
      <c r="Q643" s="95"/>
    </row>
    <row r="644">
      <c r="A644" s="98"/>
      <c r="D644" s="95"/>
      <c r="L644" s="50"/>
      <c r="O644" s="98"/>
      <c r="Q644" s="95"/>
    </row>
    <row r="645">
      <c r="A645" s="98"/>
      <c r="D645" s="95"/>
      <c r="L645" s="50"/>
      <c r="O645" s="98"/>
      <c r="Q645" s="95"/>
    </row>
    <row r="646">
      <c r="A646" s="98"/>
      <c r="D646" s="95"/>
      <c r="L646" s="50"/>
      <c r="O646" s="98"/>
      <c r="Q646" s="95"/>
    </row>
    <row r="647">
      <c r="A647" s="98"/>
      <c r="D647" s="95"/>
      <c r="L647" s="50"/>
      <c r="O647" s="98"/>
      <c r="Q647" s="95"/>
    </row>
    <row r="648">
      <c r="A648" s="98"/>
      <c r="D648" s="95"/>
      <c r="L648" s="50"/>
      <c r="O648" s="98"/>
      <c r="Q648" s="95"/>
    </row>
    <row r="649">
      <c r="A649" s="98"/>
      <c r="D649" s="95"/>
      <c r="L649" s="50"/>
      <c r="O649" s="98"/>
      <c r="Q649" s="95"/>
    </row>
    <row r="650">
      <c r="A650" s="98"/>
      <c r="D650" s="95"/>
      <c r="L650" s="50"/>
      <c r="O650" s="98"/>
      <c r="Q650" s="95"/>
    </row>
    <row r="651">
      <c r="A651" s="98"/>
      <c r="D651" s="95"/>
      <c r="L651" s="50"/>
      <c r="O651" s="98"/>
      <c r="Q651" s="95"/>
    </row>
    <row r="652">
      <c r="A652" s="98"/>
      <c r="D652" s="95"/>
      <c r="L652" s="50"/>
      <c r="O652" s="98"/>
      <c r="Q652" s="95"/>
    </row>
    <row r="653">
      <c r="A653" s="98"/>
      <c r="D653" s="95"/>
      <c r="L653" s="50"/>
      <c r="O653" s="98"/>
      <c r="Q653" s="95"/>
    </row>
    <row r="654">
      <c r="A654" s="98"/>
      <c r="D654" s="95"/>
      <c r="L654" s="50"/>
      <c r="O654" s="98"/>
      <c r="Q654" s="95"/>
    </row>
    <row r="655">
      <c r="A655" s="98"/>
      <c r="D655" s="95"/>
      <c r="L655" s="50"/>
      <c r="O655" s="98"/>
      <c r="Q655" s="95"/>
    </row>
    <row r="656">
      <c r="A656" s="98"/>
      <c r="D656" s="95"/>
      <c r="L656" s="50"/>
      <c r="O656" s="98"/>
      <c r="Q656" s="95"/>
    </row>
    <row r="657">
      <c r="A657" s="98"/>
      <c r="D657" s="95"/>
      <c r="L657" s="50"/>
      <c r="O657" s="98"/>
      <c r="Q657" s="95"/>
    </row>
    <row r="658">
      <c r="A658" s="98"/>
      <c r="D658" s="95"/>
      <c r="L658" s="50"/>
      <c r="O658" s="98"/>
      <c r="Q658" s="95"/>
    </row>
    <row r="659">
      <c r="A659" s="98"/>
      <c r="D659" s="95"/>
      <c r="L659" s="50"/>
      <c r="O659" s="98"/>
      <c r="Q659" s="95"/>
    </row>
    <row r="660">
      <c r="A660" s="98"/>
      <c r="D660" s="95"/>
      <c r="L660" s="50"/>
      <c r="O660" s="98"/>
      <c r="Q660" s="95"/>
    </row>
    <row r="661">
      <c r="A661" s="98"/>
      <c r="D661" s="95"/>
      <c r="L661" s="50"/>
      <c r="O661" s="98"/>
      <c r="Q661" s="95"/>
    </row>
    <row r="662">
      <c r="A662" s="98"/>
      <c r="D662" s="95"/>
      <c r="L662" s="50"/>
      <c r="O662" s="98"/>
      <c r="Q662" s="95"/>
    </row>
    <row r="663">
      <c r="A663" s="98"/>
      <c r="D663" s="95"/>
      <c r="L663" s="50"/>
      <c r="O663" s="98"/>
      <c r="Q663" s="95"/>
    </row>
    <row r="664">
      <c r="A664" s="98"/>
      <c r="D664" s="95"/>
      <c r="L664" s="50"/>
      <c r="O664" s="98"/>
      <c r="Q664" s="95"/>
    </row>
    <row r="665">
      <c r="A665" s="98"/>
      <c r="D665" s="95"/>
      <c r="L665" s="50"/>
      <c r="O665" s="98"/>
      <c r="Q665" s="95"/>
    </row>
    <row r="666">
      <c r="A666" s="98"/>
      <c r="D666" s="95"/>
      <c r="L666" s="50"/>
      <c r="O666" s="98"/>
      <c r="Q666" s="95"/>
    </row>
    <row r="667">
      <c r="A667" s="98"/>
      <c r="D667" s="95"/>
      <c r="L667" s="50"/>
      <c r="O667" s="98"/>
      <c r="Q667" s="95"/>
    </row>
    <row r="668">
      <c r="A668" s="98"/>
      <c r="D668" s="95"/>
      <c r="L668" s="50"/>
      <c r="O668" s="98"/>
      <c r="Q668" s="95"/>
    </row>
    <row r="669">
      <c r="A669" s="98"/>
      <c r="D669" s="95"/>
      <c r="L669" s="50"/>
      <c r="O669" s="98"/>
      <c r="Q669" s="95"/>
    </row>
    <row r="670">
      <c r="A670" s="98"/>
      <c r="D670" s="95"/>
      <c r="L670" s="50"/>
      <c r="O670" s="98"/>
      <c r="Q670" s="95"/>
    </row>
    <row r="671">
      <c r="A671" s="98"/>
      <c r="D671" s="95"/>
      <c r="L671" s="50"/>
      <c r="O671" s="98"/>
      <c r="Q671" s="95"/>
    </row>
    <row r="672">
      <c r="A672" s="98"/>
      <c r="D672" s="95"/>
      <c r="L672" s="50"/>
      <c r="O672" s="98"/>
      <c r="Q672" s="95"/>
    </row>
    <row r="673">
      <c r="A673" s="98"/>
      <c r="D673" s="95"/>
      <c r="L673" s="50"/>
      <c r="O673" s="98"/>
      <c r="Q673" s="95"/>
    </row>
    <row r="674">
      <c r="A674" s="98"/>
      <c r="D674" s="95"/>
      <c r="L674" s="50"/>
      <c r="O674" s="98"/>
      <c r="Q674" s="95"/>
    </row>
    <row r="675">
      <c r="A675" s="98"/>
      <c r="D675" s="95"/>
      <c r="L675" s="50"/>
      <c r="O675" s="98"/>
      <c r="Q675" s="95"/>
    </row>
    <row r="676">
      <c r="A676" s="98"/>
      <c r="D676" s="95"/>
      <c r="L676" s="50"/>
      <c r="O676" s="98"/>
      <c r="Q676" s="95"/>
    </row>
    <row r="677">
      <c r="A677" s="98"/>
      <c r="D677" s="95"/>
      <c r="L677" s="50"/>
      <c r="O677" s="98"/>
      <c r="Q677" s="95"/>
    </row>
    <row r="678">
      <c r="A678" s="98"/>
      <c r="D678" s="95"/>
      <c r="L678" s="50"/>
      <c r="O678" s="98"/>
      <c r="Q678" s="95"/>
    </row>
    <row r="679">
      <c r="A679" s="98"/>
      <c r="D679" s="95"/>
      <c r="L679" s="50"/>
      <c r="O679" s="98"/>
      <c r="Q679" s="95"/>
    </row>
    <row r="680">
      <c r="A680" s="98"/>
      <c r="D680" s="95"/>
      <c r="L680" s="50"/>
      <c r="O680" s="98"/>
      <c r="Q680" s="95"/>
    </row>
    <row r="681">
      <c r="A681" s="98"/>
      <c r="D681" s="95"/>
      <c r="L681" s="50"/>
      <c r="O681" s="98"/>
      <c r="Q681" s="95"/>
    </row>
    <row r="682">
      <c r="A682" s="98"/>
      <c r="D682" s="95"/>
      <c r="L682" s="50"/>
      <c r="O682" s="98"/>
      <c r="Q682" s="95"/>
    </row>
    <row r="683">
      <c r="A683" s="98"/>
      <c r="D683" s="95"/>
      <c r="L683" s="50"/>
      <c r="O683" s="98"/>
      <c r="Q683" s="95"/>
    </row>
    <row r="684">
      <c r="A684" s="98"/>
      <c r="D684" s="95"/>
      <c r="L684" s="50"/>
      <c r="O684" s="98"/>
      <c r="Q684" s="95"/>
    </row>
    <row r="685">
      <c r="A685" s="98"/>
      <c r="D685" s="95"/>
      <c r="L685" s="50"/>
      <c r="O685" s="98"/>
      <c r="Q685" s="95"/>
    </row>
    <row r="686">
      <c r="A686" s="98"/>
      <c r="D686" s="95"/>
      <c r="L686" s="50"/>
      <c r="O686" s="98"/>
      <c r="Q686" s="95"/>
    </row>
    <row r="687">
      <c r="A687" s="98"/>
      <c r="D687" s="95"/>
      <c r="L687" s="50"/>
      <c r="O687" s="98"/>
      <c r="Q687" s="95"/>
    </row>
    <row r="688">
      <c r="A688" s="98"/>
      <c r="D688" s="95"/>
      <c r="L688" s="50"/>
      <c r="O688" s="98"/>
      <c r="Q688" s="95"/>
    </row>
    <row r="689">
      <c r="A689" s="98"/>
      <c r="D689" s="95"/>
      <c r="L689" s="50"/>
      <c r="O689" s="98"/>
      <c r="Q689" s="95"/>
    </row>
    <row r="690">
      <c r="A690" s="98"/>
      <c r="D690" s="95"/>
      <c r="L690" s="50"/>
      <c r="O690" s="98"/>
      <c r="Q690" s="95"/>
    </row>
    <row r="691">
      <c r="A691" s="98"/>
      <c r="D691" s="95"/>
      <c r="L691" s="50"/>
      <c r="O691" s="98"/>
      <c r="Q691" s="95"/>
    </row>
    <row r="692">
      <c r="A692" s="98"/>
      <c r="D692" s="95"/>
      <c r="L692" s="50"/>
      <c r="O692" s="98"/>
      <c r="Q692" s="95"/>
    </row>
    <row r="693">
      <c r="A693" s="98"/>
      <c r="D693" s="95"/>
      <c r="L693" s="50"/>
      <c r="O693" s="98"/>
      <c r="Q693" s="95"/>
    </row>
    <row r="694">
      <c r="A694" s="98"/>
      <c r="D694" s="95"/>
      <c r="L694" s="50"/>
      <c r="O694" s="98"/>
      <c r="Q694" s="95"/>
    </row>
    <row r="695">
      <c r="A695" s="98"/>
      <c r="D695" s="95"/>
      <c r="L695" s="50"/>
      <c r="O695" s="98"/>
      <c r="Q695" s="95"/>
    </row>
    <row r="696">
      <c r="A696" s="98"/>
      <c r="D696" s="95"/>
      <c r="L696" s="50"/>
      <c r="O696" s="98"/>
      <c r="Q696" s="95"/>
    </row>
    <row r="697">
      <c r="A697" s="98"/>
      <c r="D697" s="95"/>
      <c r="L697" s="50"/>
      <c r="O697" s="98"/>
      <c r="Q697" s="95"/>
    </row>
    <row r="698">
      <c r="A698" s="98"/>
      <c r="D698" s="95"/>
      <c r="L698" s="50"/>
      <c r="O698" s="98"/>
      <c r="Q698" s="95"/>
    </row>
    <row r="699">
      <c r="A699" s="98"/>
      <c r="D699" s="95"/>
      <c r="L699" s="50"/>
      <c r="O699" s="98"/>
      <c r="Q699" s="95"/>
    </row>
    <row r="700">
      <c r="A700" s="98"/>
      <c r="D700" s="95"/>
      <c r="L700" s="50"/>
      <c r="O700" s="98"/>
      <c r="Q700" s="95"/>
    </row>
    <row r="701">
      <c r="A701" s="98"/>
      <c r="D701" s="95"/>
      <c r="L701" s="50"/>
      <c r="O701" s="98"/>
      <c r="Q701" s="95"/>
    </row>
    <row r="702">
      <c r="A702" s="98"/>
      <c r="D702" s="95"/>
      <c r="L702" s="50"/>
      <c r="O702" s="98"/>
      <c r="Q702" s="95"/>
    </row>
    <row r="703">
      <c r="A703" s="98"/>
      <c r="D703" s="95"/>
      <c r="L703" s="50"/>
      <c r="O703" s="98"/>
      <c r="Q703" s="95"/>
    </row>
    <row r="704">
      <c r="A704" s="98"/>
      <c r="D704" s="95"/>
      <c r="L704" s="50"/>
      <c r="O704" s="98"/>
      <c r="Q704" s="95"/>
    </row>
    <row r="705">
      <c r="A705" s="98"/>
      <c r="D705" s="95"/>
      <c r="L705" s="50"/>
      <c r="O705" s="98"/>
      <c r="Q705" s="95"/>
    </row>
    <row r="706">
      <c r="A706" s="98"/>
      <c r="D706" s="95"/>
      <c r="L706" s="50"/>
      <c r="O706" s="98"/>
      <c r="Q706" s="95"/>
    </row>
    <row r="707">
      <c r="A707" s="98"/>
      <c r="D707" s="95"/>
      <c r="L707" s="50"/>
      <c r="O707" s="98"/>
      <c r="Q707" s="95"/>
    </row>
    <row r="708">
      <c r="A708" s="98"/>
      <c r="D708" s="95"/>
      <c r="L708" s="50"/>
      <c r="O708" s="98"/>
      <c r="Q708" s="95"/>
    </row>
    <row r="709">
      <c r="A709" s="98"/>
      <c r="D709" s="95"/>
      <c r="L709" s="50"/>
      <c r="O709" s="98"/>
      <c r="Q709" s="95"/>
    </row>
    <row r="710">
      <c r="A710" s="98"/>
      <c r="D710" s="95"/>
      <c r="L710" s="50"/>
      <c r="O710" s="98"/>
      <c r="Q710" s="95"/>
    </row>
    <row r="711">
      <c r="A711" s="98"/>
      <c r="D711" s="95"/>
      <c r="L711" s="50"/>
      <c r="O711" s="98"/>
      <c r="Q711" s="95"/>
    </row>
    <row r="712">
      <c r="A712" s="98"/>
      <c r="D712" s="95"/>
      <c r="L712" s="50"/>
      <c r="O712" s="98"/>
      <c r="Q712" s="95"/>
    </row>
    <row r="713">
      <c r="A713" s="98"/>
      <c r="D713" s="95"/>
      <c r="L713" s="50"/>
      <c r="O713" s="98"/>
      <c r="Q713" s="95"/>
    </row>
    <row r="714">
      <c r="A714" s="98"/>
      <c r="D714" s="95"/>
      <c r="L714" s="50"/>
      <c r="O714" s="98"/>
      <c r="Q714" s="95"/>
    </row>
    <row r="715">
      <c r="A715" s="98"/>
      <c r="D715" s="95"/>
      <c r="L715" s="50"/>
      <c r="O715" s="98"/>
      <c r="Q715" s="95"/>
    </row>
    <row r="716">
      <c r="A716" s="98"/>
      <c r="D716" s="95"/>
      <c r="L716" s="50"/>
      <c r="O716" s="98"/>
      <c r="Q716" s="95"/>
    </row>
    <row r="717">
      <c r="A717" s="98"/>
      <c r="D717" s="95"/>
      <c r="L717" s="50"/>
      <c r="O717" s="98"/>
      <c r="Q717" s="95"/>
    </row>
    <row r="718">
      <c r="A718" s="98"/>
      <c r="D718" s="95"/>
      <c r="L718" s="50"/>
      <c r="O718" s="98"/>
      <c r="Q718" s="95"/>
    </row>
    <row r="719">
      <c r="A719" s="98"/>
      <c r="D719" s="95"/>
      <c r="L719" s="50"/>
      <c r="O719" s="98"/>
      <c r="Q719" s="95"/>
    </row>
    <row r="720">
      <c r="A720" s="98"/>
      <c r="D720" s="95"/>
      <c r="L720" s="50"/>
      <c r="O720" s="98"/>
      <c r="Q720" s="95"/>
    </row>
    <row r="721">
      <c r="A721" s="98"/>
      <c r="D721" s="95"/>
      <c r="L721" s="50"/>
      <c r="O721" s="98"/>
      <c r="Q721" s="95"/>
    </row>
    <row r="722">
      <c r="A722" s="98"/>
      <c r="D722" s="95"/>
      <c r="L722" s="50"/>
      <c r="O722" s="98"/>
      <c r="Q722" s="95"/>
    </row>
    <row r="723">
      <c r="A723" s="98"/>
      <c r="D723" s="95"/>
      <c r="L723" s="50"/>
      <c r="O723" s="98"/>
      <c r="Q723" s="95"/>
    </row>
    <row r="724">
      <c r="A724" s="98"/>
      <c r="D724" s="95"/>
      <c r="L724" s="50"/>
      <c r="O724" s="98"/>
      <c r="Q724" s="95"/>
    </row>
    <row r="725">
      <c r="A725" s="98"/>
      <c r="D725" s="95"/>
      <c r="L725" s="50"/>
      <c r="O725" s="98"/>
      <c r="Q725" s="95"/>
    </row>
    <row r="726">
      <c r="A726" s="98"/>
      <c r="D726" s="95"/>
      <c r="L726" s="50"/>
      <c r="O726" s="98"/>
      <c r="Q726" s="95"/>
    </row>
    <row r="727">
      <c r="A727" s="98"/>
      <c r="D727" s="95"/>
      <c r="L727" s="50"/>
      <c r="O727" s="98"/>
      <c r="Q727" s="95"/>
    </row>
    <row r="728">
      <c r="A728" s="98"/>
      <c r="D728" s="95"/>
      <c r="L728" s="50"/>
      <c r="O728" s="98"/>
      <c r="Q728" s="95"/>
    </row>
    <row r="729">
      <c r="A729" s="98"/>
      <c r="D729" s="95"/>
      <c r="L729" s="50"/>
      <c r="O729" s="98"/>
      <c r="Q729" s="95"/>
    </row>
    <row r="730">
      <c r="A730" s="98"/>
      <c r="D730" s="95"/>
      <c r="L730" s="50"/>
      <c r="O730" s="98"/>
      <c r="Q730" s="95"/>
    </row>
    <row r="731">
      <c r="A731" s="98"/>
      <c r="D731" s="95"/>
      <c r="L731" s="50"/>
      <c r="O731" s="98"/>
      <c r="Q731" s="95"/>
    </row>
    <row r="732">
      <c r="A732" s="98"/>
      <c r="D732" s="95"/>
      <c r="L732" s="50"/>
      <c r="O732" s="98"/>
      <c r="Q732" s="95"/>
    </row>
    <row r="733">
      <c r="A733" s="98"/>
      <c r="D733" s="95"/>
      <c r="L733" s="50"/>
      <c r="O733" s="98"/>
      <c r="Q733" s="95"/>
    </row>
    <row r="734">
      <c r="A734" s="98"/>
      <c r="D734" s="95"/>
      <c r="L734" s="50"/>
      <c r="O734" s="98"/>
      <c r="Q734" s="95"/>
    </row>
    <row r="735">
      <c r="A735" s="98"/>
      <c r="D735" s="95"/>
      <c r="L735" s="50"/>
      <c r="O735" s="98"/>
      <c r="Q735" s="95"/>
    </row>
    <row r="736">
      <c r="A736" s="98"/>
      <c r="D736" s="95"/>
      <c r="L736" s="50"/>
      <c r="O736" s="98"/>
      <c r="Q736" s="95"/>
    </row>
    <row r="737">
      <c r="A737" s="98"/>
      <c r="D737" s="95"/>
      <c r="L737" s="50"/>
      <c r="O737" s="98"/>
      <c r="Q737" s="95"/>
    </row>
    <row r="738">
      <c r="A738" s="98"/>
      <c r="D738" s="95"/>
      <c r="L738" s="50"/>
      <c r="O738" s="98"/>
      <c r="Q738" s="95"/>
    </row>
    <row r="739">
      <c r="A739" s="98"/>
      <c r="D739" s="95"/>
      <c r="L739" s="50"/>
      <c r="O739" s="98"/>
      <c r="Q739" s="95"/>
    </row>
    <row r="740">
      <c r="A740" s="98"/>
      <c r="D740" s="95"/>
      <c r="L740" s="50"/>
      <c r="O740" s="98"/>
      <c r="Q740" s="95"/>
    </row>
    <row r="741">
      <c r="A741" s="98"/>
      <c r="D741" s="95"/>
      <c r="L741" s="50"/>
      <c r="O741" s="98"/>
      <c r="Q741" s="95"/>
    </row>
    <row r="742">
      <c r="A742" s="98"/>
      <c r="D742" s="95"/>
      <c r="L742" s="50"/>
      <c r="O742" s="98"/>
      <c r="Q742" s="95"/>
    </row>
    <row r="743">
      <c r="A743" s="98"/>
      <c r="D743" s="95"/>
      <c r="L743" s="50"/>
      <c r="O743" s="98"/>
      <c r="Q743" s="95"/>
    </row>
    <row r="744">
      <c r="A744" s="98"/>
      <c r="D744" s="95"/>
      <c r="L744" s="50"/>
      <c r="O744" s="98"/>
      <c r="Q744" s="95"/>
    </row>
    <row r="745">
      <c r="A745" s="98"/>
      <c r="D745" s="95"/>
      <c r="L745" s="50"/>
      <c r="O745" s="98"/>
      <c r="Q745" s="95"/>
    </row>
    <row r="746">
      <c r="A746" s="98"/>
      <c r="D746" s="95"/>
      <c r="L746" s="50"/>
      <c r="O746" s="98"/>
      <c r="Q746" s="95"/>
    </row>
    <row r="747">
      <c r="A747" s="98"/>
      <c r="D747" s="95"/>
      <c r="L747" s="50"/>
      <c r="O747" s="98"/>
      <c r="Q747" s="95"/>
    </row>
    <row r="748">
      <c r="A748" s="98"/>
      <c r="D748" s="95"/>
      <c r="L748" s="50"/>
      <c r="O748" s="98"/>
      <c r="Q748" s="95"/>
    </row>
    <row r="749">
      <c r="A749" s="98"/>
      <c r="D749" s="95"/>
      <c r="L749" s="50"/>
      <c r="O749" s="98"/>
      <c r="Q749" s="95"/>
    </row>
    <row r="750">
      <c r="A750" s="98"/>
      <c r="D750" s="95"/>
      <c r="L750" s="50"/>
      <c r="O750" s="98"/>
      <c r="Q750" s="95"/>
    </row>
    <row r="751">
      <c r="A751" s="98"/>
      <c r="D751" s="95"/>
      <c r="L751" s="50"/>
      <c r="O751" s="98"/>
      <c r="Q751" s="95"/>
    </row>
    <row r="752">
      <c r="A752" s="98"/>
      <c r="D752" s="95"/>
      <c r="L752" s="50"/>
      <c r="O752" s="98"/>
      <c r="Q752" s="95"/>
    </row>
    <row r="753">
      <c r="A753" s="98"/>
      <c r="D753" s="95"/>
      <c r="L753" s="50"/>
      <c r="O753" s="98"/>
      <c r="Q753" s="95"/>
    </row>
    <row r="754">
      <c r="A754" s="98"/>
      <c r="D754" s="95"/>
      <c r="L754" s="50"/>
      <c r="O754" s="98"/>
      <c r="Q754" s="95"/>
    </row>
    <row r="755">
      <c r="A755" s="98"/>
      <c r="D755" s="95"/>
      <c r="L755" s="50"/>
      <c r="O755" s="98"/>
      <c r="Q755" s="95"/>
    </row>
    <row r="756">
      <c r="A756" s="98"/>
      <c r="D756" s="95"/>
      <c r="L756" s="50"/>
      <c r="O756" s="98"/>
      <c r="Q756" s="95"/>
    </row>
    <row r="757">
      <c r="A757" s="98"/>
      <c r="D757" s="95"/>
      <c r="L757" s="50"/>
      <c r="O757" s="98"/>
      <c r="Q757" s="95"/>
    </row>
    <row r="758">
      <c r="A758" s="98"/>
      <c r="D758" s="95"/>
      <c r="L758" s="50"/>
      <c r="O758" s="98"/>
      <c r="Q758" s="95"/>
    </row>
    <row r="759">
      <c r="A759" s="98"/>
      <c r="D759" s="95"/>
      <c r="L759" s="50"/>
      <c r="O759" s="98"/>
      <c r="Q759" s="95"/>
    </row>
    <row r="760">
      <c r="A760" s="98"/>
      <c r="D760" s="95"/>
      <c r="L760" s="50"/>
      <c r="O760" s="98"/>
      <c r="Q760" s="95"/>
    </row>
    <row r="761">
      <c r="A761" s="98"/>
      <c r="D761" s="95"/>
      <c r="L761" s="50"/>
      <c r="O761" s="98"/>
      <c r="Q761" s="95"/>
    </row>
    <row r="762">
      <c r="A762" s="98"/>
      <c r="D762" s="95"/>
      <c r="L762" s="50"/>
      <c r="O762" s="98"/>
      <c r="Q762" s="95"/>
    </row>
    <row r="763">
      <c r="A763" s="98"/>
      <c r="D763" s="95"/>
      <c r="L763" s="50"/>
      <c r="O763" s="98"/>
      <c r="Q763" s="95"/>
    </row>
    <row r="764">
      <c r="A764" s="98"/>
      <c r="D764" s="95"/>
      <c r="L764" s="50"/>
      <c r="O764" s="98"/>
      <c r="Q764" s="95"/>
    </row>
    <row r="765">
      <c r="A765" s="98"/>
      <c r="D765" s="95"/>
      <c r="L765" s="50"/>
      <c r="O765" s="98"/>
      <c r="Q765" s="95"/>
    </row>
    <row r="766">
      <c r="A766" s="98"/>
      <c r="D766" s="95"/>
      <c r="L766" s="50"/>
      <c r="O766" s="98"/>
      <c r="Q766" s="95"/>
    </row>
    <row r="767">
      <c r="A767" s="98"/>
      <c r="D767" s="95"/>
      <c r="L767" s="50"/>
      <c r="O767" s="98"/>
      <c r="Q767" s="95"/>
    </row>
    <row r="768">
      <c r="A768" s="98"/>
      <c r="D768" s="95"/>
      <c r="L768" s="50"/>
      <c r="O768" s="98"/>
      <c r="Q768" s="95"/>
    </row>
    <row r="769">
      <c r="A769" s="98"/>
      <c r="D769" s="95"/>
      <c r="L769" s="50"/>
      <c r="O769" s="98"/>
      <c r="Q769" s="95"/>
    </row>
    <row r="770">
      <c r="A770" s="98"/>
      <c r="D770" s="95"/>
      <c r="L770" s="50"/>
      <c r="O770" s="98"/>
      <c r="Q770" s="95"/>
    </row>
    <row r="771">
      <c r="A771" s="98"/>
      <c r="D771" s="95"/>
      <c r="L771" s="50"/>
      <c r="O771" s="98"/>
      <c r="Q771" s="95"/>
    </row>
    <row r="772">
      <c r="A772" s="98"/>
      <c r="D772" s="95"/>
      <c r="L772" s="50"/>
      <c r="O772" s="98"/>
      <c r="Q772" s="95"/>
    </row>
    <row r="773">
      <c r="A773" s="98"/>
      <c r="D773" s="95"/>
      <c r="L773" s="50"/>
      <c r="O773" s="98"/>
      <c r="Q773" s="95"/>
    </row>
    <row r="774">
      <c r="A774" s="98"/>
      <c r="D774" s="95"/>
      <c r="L774" s="50"/>
      <c r="O774" s="98"/>
      <c r="Q774" s="95"/>
    </row>
    <row r="775">
      <c r="A775" s="98"/>
      <c r="D775" s="95"/>
      <c r="L775" s="50"/>
      <c r="O775" s="98"/>
      <c r="Q775" s="95"/>
    </row>
    <row r="776">
      <c r="A776" s="98"/>
      <c r="D776" s="95"/>
      <c r="L776" s="50"/>
      <c r="O776" s="98"/>
      <c r="Q776" s="95"/>
    </row>
    <row r="777">
      <c r="A777" s="98"/>
      <c r="D777" s="95"/>
      <c r="L777" s="50"/>
      <c r="O777" s="98"/>
      <c r="Q777" s="95"/>
    </row>
    <row r="778">
      <c r="A778" s="98"/>
      <c r="D778" s="95"/>
      <c r="L778" s="50"/>
      <c r="O778" s="98"/>
      <c r="Q778" s="95"/>
    </row>
    <row r="779">
      <c r="A779" s="98"/>
      <c r="D779" s="95"/>
      <c r="L779" s="50"/>
      <c r="O779" s="98"/>
      <c r="Q779" s="95"/>
    </row>
    <row r="780">
      <c r="A780" s="98"/>
      <c r="D780" s="95"/>
      <c r="L780" s="50"/>
      <c r="O780" s="98"/>
      <c r="Q780" s="95"/>
    </row>
    <row r="781">
      <c r="A781" s="98"/>
      <c r="D781" s="95"/>
      <c r="L781" s="50"/>
      <c r="O781" s="98"/>
      <c r="Q781" s="95"/>
    </row>
    <row r="782">
      <c r="A782" s="98"/>
      <c r="D782" s="95"/>
      <c r="L782" s="50"/>
      <c r="O782" s="98"/>
      <c r="Q782" s="95"/>
    </row>
    <row r="783">
      <c r="A783" s="98"/>
      <c r="D783" s="95"/>
      <c r="L783" s="50"/>
      <c r="O783" s="98"/>
      <c r="Q783" s="95"/>
    </row>
    <row r="784">
      <c r="A784" s="98"/>
      <c r="D784" s="95"/>
      <c r="L784" s="50"/>
      <c r="O784" s="98"/>
      <c r="Q784" s="95"/>
    </row>
    <row r="785">
      <c r="A785" s="98"/>
      <c r="D785" s="95"/>
      <c r="L785" s="50"/>
      <c r="O785" s="98"/>
      <c r="Q785" s="95"/>
    </row>
    <row r="786">
      <c r="A786" s="98"/>
      <c r="D786" s="95"/>
      <c r="L786" s="50"/>
      <c r="O786" s="98"/>
      <c r="Q786" s="95"/>
    </row>
    <row r="787">
      <c r="A787" s="98"/>
      <c r="D787" s="95"/>
      <c r="L787" s="50"/>
      <c r="O787" s="98"/>
      <c r="Q787" s="95"/>
    </row>
    <row r="788">
      <c r="A788" s="98"/>
      <c r="D788" s="95"/>
      <c r="L788" s="50"/>
      <c r="O788" s="98"/>
      <c r="Q788" s="95"/>
    </row>
    <row r="789">
      <c r="A789" s="98"/>
      <c r="D789" s="95"/>
      <c r="L789" s="50"/>
      <c r="O789" s="98"/>
      <c r="Q789" s="95"/>
    </row>
    <row r="790">
      <c r="A790" s="98"/>
      <c r="D790" s="95"/>
      <c r="L790" s="50"/>
      <c r="O790" s="98"/>
      <c r="Q790" s="95"/>
    </row>
    <row r="791">
      <c r="A791" s="98"/>
      <c r="D791" s="95"/>
      <c r="L791" s="50"/>
      <c r="O791" s="98"/>
      <c r="Q791" s="95"/>
    </row>
    <row r="792">
      <c r="A792" s="98"/>
      <c r="D792" s="95"/>
      <c r="L792" s="50"/>
      <c r="O792" s="98"/>
      <c r="Q792" s="95"/>
    </row>
    <row r="793">
      <c r="A793" s="98"/>
      <c r="D793" s="95"/>
      <c r="L793" s="50"/>
      <c r="O793" s="98"/>
      <c r="Q793" s="95"/>
    </row>
    <row r="794">
      <c r="A794" s="98"/>
      <c r="D794" s="95"/>
      <c r="L794" s="50"/>
      <c r="O794" s="98"/>
      <c r="Q794" s="95"/>
    </row>
    <row r="795">
      <c r="A795" s="98"/>
      <c r="D795" s="95"/>
      <c r="L795" s="50"/>
      <c r="O795" s="98"/>
      <c r="Q795" s="95"/>
    </row>
    <row r="796">
      <c r="A796" s="98"/>
      <c r="D796" s="95"/>
      <c r="L796" s="50"/>
      <c r="O796" s="98"/>
      <c r="Q796" s="95"/>
    </row>
    <row r="797">
      <c r="A797" s="98"/>
      <c r="D797" s="95"/>
      <c r="L797" s="50"/>
      <c r="O797" s="98"/>
      <c r="Q797" s="95"/>
    </row>
    <row r="798">
      <c r="A798" s="98"/>
      <c r="D798" s="95"/>
      <c r="L798" s="50"/>
      <c r="O798" s="98"/>
      <c r="Q798" s="95"/>
    </row>
    <row r="799">
      <c r="A799" s="98"/>
      <c r="D799" s="95"/>
      <c r="L799" s="50"/>
      <c r="O799" s="98"/>
      <c r="Q799" s="95"/>
    </row>
    <row r="800">
      <c r="A800" s="98"/>
      <c r="D800" s="95"/>
      <c r="L800" s="50"/>
      <c r="O800" s="98"/>
      <c r="Q800" s="95"/>
    </row>
    <row r="801">
      <c r="A801" s="98"/>
      <c r="D801" s="95"/>
      <c r="L801" s="50"/>
      <c r="O801" s="98"/>
      <c r="Q801" s="95"/>
    </row>
    <row r="802">
      <c r="A802" s="98"/>
      <c r="D802" s="95"/>
      <c r="L802" s="50"/>
      <c r="O802" s="98"/>
      <c r="Q802" s="95"/>
    </row>
    <row r="803">
      <c r="A803" s="98"/>
      <c r="D803" s="95"/>
      <c r="L803" s="50"/>
      <c r="O803" s="98"/>
      <c r="Q803" s="95"/>
    </row>
    <row r="804">
      <c r="A804" s="98"/>
      <c r="D804" s="95"/>
      <c r="L804" s="50"/>
      <c r="O804" s="98"/>
      <c r="Q804" s="95"/>
    </row>
    <row r="805">
      <c r="A805" s="98"/>
      <c r="D805" s="95"/>
      <c r="L805" s="50"/>
      <c r="O805" s="98"/>
      <c r="Q805" s="95"/>
    </row>
    <row r="806">
      <c r="A806" s="98"/>
      <c r="D806" s="95"/>
      <c r="L806" s="50"/>
      <c r="O806" s="98"/>
      <c r="Q806" s="95"/>
    </row>
    <row r="807">
      <c r="A807" s="98"/>
      <c r="D807" s="95"/>
      <c r="L807" s="50"/>
      <c r="O807" s="98"/>
      <c r="Q807" s="95"/>
    </row>
    <row r="808">
      <c r="A808" s="98"/>
      <c r="D808" s="95"/>
      <c r="L808" s="50"/>
      <c r="O808" s="98"/>
      <c r="Q808" s="95"/>
    </row>
    <row r="809">
      <c r="A809" s="98"/>
      <c r="D809" s="95"/>
      <c r="L809" s="50"/>
      <c r="O809" s="98"/>
      <c r="Q809" s="95"/>
    </row>
    <row r="810">
      <c r="A810" s="98"/>
      <c r="D810" s="95"/>
      <c r="L810" s="50"/>
      <c r="O810" s="98"/>
      <c r="Q810" s="95"/>
    </row>
    <row r="811">
      <c r="A811" s="98"/>
      <c r="D811" s="95"/>
      <c r="L811" s="50"/>
      <c r="O811" s="98"/>
      <c r="Q811" s="95"/>
    </row>
    <row r="812">
      <c r="A812" s="98"/>
      <c r="D812" s="95"/>
      <c r="L812" s="50"/>
      <c r="O812" s="98"/>
      <c r="Q812" s="95"/>
    </row>
    <row r="813">
      <c r="A813" s="98"/>
      <c r="D813" s="95"/>
      <c r="L813" s="50"/>
      <c r="O813" s="98"/>
      <c r="Q813" s="95"/>
    </row>
    <row r="814">
      <c r="A814" s="98"/>
      <c r="D814" s="95"/>
      <c r="L814" s="50"/>
      <c r="O814" s="98"/>
      <c r="Q814" s="95"/>
    </row>
    <row r="815">
      <c r="A815" s="98"/>
      <c r="D815" s="95"/>
      <c r="L815" s="50"/>
      <c r="O815" s="98"/>
      <c r="Q815" s="95"/>
    </row>
    <row r="816">
      <c r="A816" s="98"/>
      <c r="D816" s="95"/>
      <c r="L816" s="50"/>
      <c r="O816" s="98"/>
      <c r="Q816" s="95"/>
    </row>
    <row r="817">
      <c r="A817" s="98"/>
      <c r="D817" s="95"/>
      <c r="L817" s="50"/>
      <c r="O817" s="98"/>
      <c r="Q817" s="95"/>
    </row>
    <row r="818">
      <c r="A818" s="98"/>
      <c r="D818" s="95"/>
      <c r="L818" s="50"/>
      <c r="O818" s="98"/>
      <c r="Q818" s="95"/>
    </row>
    <row r="819">
      <c r="A819" s="98"/>
      <c r="D819" s="95"/>
      <c r="L819" s="50"/>
      <c r="O819" s="98"/>
      <c r="Q819" s="95"/>
    </row>
    <row r="820">
      <c r="A820" s="98"/>
      <c r="D820" s="95"/>
      <c r="L820" s="50"/>
      <c r="O820" s="98"/>
      <c r="Q820" s="95"/>
    </row>
    <row r="821">
      <c r="A821" s="98"/>
      <c r="D821" s="95"/>
      <c r="L821" s="50"/>
      <c r="O821" s="98"/>
      <c r="Q821" s="95"/>
    </row>
    <row r="822">
      <c r="A822" s="98"/>
      <c r="D822" s="95"/>
      <c r="L822" s="50"/>
      <c r="O822" s="98"/>
      <c r="Q822" s="95"/>
    </row>
    <row r="823">
      <c r="A823" s="98"/>
      <c r="D823" s="95"/>
      <c r="L823" s="50"/>
      <c r="O823" s="98"/>
      <c r="Q823" s="95"/>
    </row>
    <row r="824">
      <c r="A824" s="98"/>
      <c r="D824" s="95"/>
      <c r="L824" s="50"/>
      <c r="O824" s="98"/>
      <c r="Q824" s="95"/>
    </row>
    <row r="825">
      <c r="A825" s="98"/>
      <c r="D825" s="95"/>
      <c r="L825" s="50"/>
      <c r="O825" s="98"/>
      <c r="Q825" s="95"/>
    </row>
    <row r="826">
      <c r="A826" s="98"/>
      <c r="D826" s="95"/>
      <c r="L826" s="50"/>
      <c r="O826" s="98"/>
      <c r="Q826" s="95"/>
    </row>
    <row r="827">
      <c r="A827" s="98"/>
      <c r="D827" s="95"/>
      <c r="L827" s="50"/>
      <c r="O827" s="98"/>
      <c r="Q827" s="95"/>
    </row>
    <row r="828">
      <c r="A828" s="98"/>
      <c r="D828" s="95"/>
      <c r="L828" s="50"/>
      <c r="O828" s="98"/>
      <c r="Q828" s="95"/>
    </row>
    <row r="829">
      <c r="A829" s="98"/>
      <c r="D829" s="95"/>
      <c r="L829" s="50"/>
      <c r="O829" s="98"/>
      <c r="Q829" s="95"/>
    </row>
    <row r="830">
      <c r="A830" s="98"/>
      <c r="D830" s="95"/>
      <c r="L830" s="50"/>
      <c r="O830" s="98"/>
      <c r="Q830" s="95"/>
    </row>
    <row r="831">
      <c r="A831" s="98"/>
      <c r="D831" s="95"/>
      <c r="L831" s="50"/>
      <c r="O831" s="98"/>
      <c r="Q831" s="95"/>
    </row>
    <row r="832">
      <c r="A832" s="98"/>
      <c r="D832" s="95"/>
      <c r="L832" s="50"/>
      <c r="O832" s="98"/>
      <c r="Q832" s="95"/>
    </row>
    <row r="833">
      <c r="A833" s="98"/>
      <c r="D833" s="95"/>
      <c r="L833" s="50"/>
      <c r="O833" s="98"/>
      <c r="Q833" s="95"/>
    </row>
    <row r="834">
      <c r="A834" s="98"/>
      <c r="D834" s="95"/>
      <c r="L834" s="50"/>
      <c r="O834" s="98"/>
      <c r="Q834" s="95"/>
    </row>
    <row r="835">
      <c r="A835" s="98"/>
      <c r="D835" s="95"/>
      <c r="L835" s="50"/>
      <c r="O835" s="98"/>
      <c r="Q835" s="95"/>
    </row>
    <row r="836">
      <c r="A836" s="98"/>
      <c r="D836" s="95"/>
      <c r="L836" s="50"/>
      <c r="O836" s="98"/>
      <c r="Q836" s="95"/>
    </row>
    <row r="837">
      <c r="A837" s="98"/>
      <c r="D837" s="95"/>
      <c r="L837" s="50"/>
      <c r="O837" s="98"/>
      <c r="Q837" s="95"/>
    </row>
    <row r="838">
      <c r="A838" s="98"/>
      <c r="D838" s="95"/>
      <c r="L838" s="50"/>
      <c r="O838" s="98"/>
      <c r="Q838" s="95"/>
    </row>
    <row r="839">
      <c r="A839" s="98"/>
      <c r="D839" s="95"/>
      <c r="L839" s="50"/>
      <c r="O839" s="98"/>
      <c r="Q839" s="95"/>
    </row>
    <row r="840">
      <c r="A840" s="98"/>
      <c r="D840" s="95"/>
      <c r="L840" s="50"/>
      <c r="O840" s="98"/>
      <c r="Q840" s="95"/>
    </row>
    <row r="841">
      <c r="A841" s="98"/>
      <c r="D841" s="95"/>
      <c r="L841" s="50"/>
      <c r="O841" s="98"/>
      <c r="Q841" s="95"/>
    </row>
    <row r="842">
      <c r="A842" s="98"/>
      <c r="D842" s="95"/>
      <c r="L842" s="50"/>
      <c r="O842" s="98"/>
      <c r="Q842" s="95"/>
    </row>
    <row r="843">
      <c r="A843" s="98"/>
      <c r="D843" s="95"/>
      <c r="L843" s="50"/>
      <c r="O843" s="98"/>
      <c r="Q843" s="95"/>
    </row>
    <row r="844">
      <c r="A844" s="98"/>
      <c r="D844" s="95"/>
      <c r="L844" s="50"/>
      <c r="O844" s="98"/>
      <c r="Q844" s="95"/>
    </row>
    <row r="845">
      <c r="A845" s="98"/>
      <c r="D845" s="95"/>
      <c r="L845" s="50"/>
      <c r="O845" s="98"/>
      <c r="Q845" s="95"/>
    </row>
    <row r="846">
      <c r="A846" s="98"/>
      <c r="D846" s="95"/>
      <c r="L846" s="50"/>
      <c r="O846" s="98"/>
      <c r="Q846" s="95"/>
    </row>
    <row r="847">
      <c r="A847" s="98"/>
      <c r="D847" s="95"/>
      <c r="L847" s="50"/>
      <c r="O847" s="98"/>
      <c r="Q847" s="95"/>
    </row>
    <row r="848">
      <c r="A848" s="98"/>
      <c r="D848" s="95"/>
      <c r="L848" s="50"/>
      <c r="O848" s="98"/>
      <c r="Q848" s="95"/>
    </row>
    <row r="849">
      <c r="A849" s="98"/>
      <c r="D849" s="95"/>
      <c r="L849" s="50"/>
      <c r="O849" s="98"/>
      <c r="Q849" s="95"/>
    </row>
    <row r="850">
      <c r="A850" s="98"/>
      <c r="D850" s="95"/>
      <c r="L850" s="50"/>
      <c r="O850" s="98"/>
      <c r="Q850" s="95"/>
    </row>
    <row r="851">
      <c r="A851" s="98"/>
      <c r="D851" s="95"/>
      <c r="L851" s="50"/>
      <c r="O851" s="98"/>
      <c r="Q851" s="95"/>
    </row>
    <row r="852">
      <c r="A852" s="98"/>
      <c r="D852" s="95"/>
      <c r="L852" s="50"/>
      <c r="O852" s="98"/>
      <c r="Q852" s="95"/>
    </row>
    <row r="853">
      <c r="A853" s="98"/>
      <c r="D853" s="95"/>
      <c r="L853" s="50"/>
      <c r="O853" s="98"/>
      <c r="Q853" s="95"/>
    </row>
    <row r="854">
      <c r="A854" s="98"/>
      <c r="D854" s="95"/>
      <c r="L854" s="50"/>
      <c r="O854" s="98"/>
      <c r="Q854" s="95"/>
    </row>
    <row r="855">
      <c r="A855" s="98"/>
      <c r="D855" s="95"/>
      <c r="L855" s="50"/>
      <c r="O855" s="98"/>
      <c r="Q855" s="95"/>
    </row>
    <row r="856">
      <c r="A856" s="98"/>
      <c r="D856" s="95"/>
      <c r="L856" s="50"/>
      <c r="O856" s="98"/>
      <c r="Q856" s="95"/>
    </row>
    <row r="857">
      <c r="A857" s="98"/>
      <c r="D857" s="95"/>
      <c r="L857" s="50"/>
      <c r="O857" s="98"/>
      <c r="Q857" s="95"/>
    </row>
    <row r="858">
      <c r="A858" s="98"/>
      <c r="D858" s="95"/>
      <c r="L858" s="50"/>
      <c r="O858" s="98"/>
      <c r="Q858" s="95"/>
    </row>
    <row r="859">
      <c r="A859" s="98"/>
      <c r="D859" s="95"/>
      <c r="L859" s="50"/>
      <c r="O859" s="98"/>
      <c r="Q859" s="95"/>
    </row>
    <row r="860">
      <c r="A860" s="98"/>
      <c r="D860" s="95"/>
      <c r="L860" s="50"/>
      <c r="O860" s="98"/>
      <c r="Q860" s="95"/>
    </row>
    <row r="861">
      <c r="A861" s="98"/>
      <c r="D861" s="95"/>
      <c r="L861" s="50"/>
      <c r="O861" s="98"/>
      <c r="Q861" s="95"/>
    </row>
    <row r="862">
      <c r="A862" s="98"/>
      <c r="D862" s="95"/>
      <c r="L862" s="50"/>
      <c r="O862" s="98"/>
      <c r="Q862" s="95"/>
    </row>
    <row r="863">
      <c r="A863" s="98"/>
      <c r="D863" s="95"/>
      <c r="L863" s="50"/>
      <c r="O863" s="98"/>
      <c r="Q863" s="95"/>
    </row>
    <row r="864">
      <c r="A864" s="98"/>
      <c r="D864" s="95"/>
      <c r="L864" s="50"/>
      <c r="O864" s="98"/>
      <c r="Q864" s="95"/>
    </row>
    <row r="865">
      <c r="A865" s="98"/>
      <c r="D865" s="95"/>
      <c r="L865" s="50"/>
      <c r="O865" s="98"/>
      <c r="Q865" s="95"/>
    </row>
    <row r="866">
      <c r="A866" s="98"/>
      <c r="D866" s="95"/>
      <c r="L866" s="50"/>
      <c r="O866" s="98"/>
      <c r="Q866" s="95"/>
    </row>
    <row r="867">
      <c r="A867" s="98"/>
      <c r="D867" s="95"/>
      <c r="L867" s="50"/>
      <c r="O867" s="98"/>
      <c r="Q867" s="95"/>
    </row>
    <row r="868">
      <c r="A868" s="98"/>
      <c r="D868" s="95"/>
      <c r="L868" s="50"/>
      <c r="O868" s="98"/>
      <c r="Q868" s="95"/>
    </row>
    <row r="869">
      <c r="A869" s="98"/>
      <c r="D869" s="95"/>
      <c r="L869" s="50"/>
      <c r="O869" s="98"/>
      <c r="Q869" s="95"/>
    </row>
    <row r="870">
      <c r="A870" s="98"/>
      <c r="D870" s="95"/>
      <c r="L870" s="50"/>
      <c r="O870" s="98"/>
      <c r="Q870" s="95"/>
    </row>
    <row r="871">
      <c r="A871" s="98"/>
      <c r="D871" s="95"/>
      <c r="L871" s="50"/>
      <c r="O871" s="98"/>
      <c r="Q871" s="95"/>
    </row>
    <row r="872">
      <c r="A872" s="98"/>
      <c r="D872" s="95"/>
      <c r="L872" s="50"/>
      <c r="O872" s="98"/>
      <c r="Q872" s="95"/>
    </row>
    <row r="873">
      <c r="A873" s="98"/>
      <c r="D873" s="95"/>
      <c r="L873" s="50"/>
      <c r="O873" s="98"/>
      <c r="Q873" s="95"/>
    </row>
    <row r="874">
      <c r="A874" s="98"/>
      <c r="D874" s="95"/>
      <c r="L874" s="50"/>
      <c r="O874" s="98"/>
      <c r="Q874" s="95"/>
    </row>
    <row r="875">
      <c r="A875" s="98"/>
      <c r="D875" s="95"/>
      <c r="L875" s="50"/>
      <c r="O875" s="98"/>
      <c r="Q875" s="95"/>
    </row>
    <row r="876">
      <c r="A876" s="98"/>
      <c r="D876" s="95"/>
      <c r="L876" s="50"/>
      <c r="O876" s="98"/>
      <c r="Q876" s="95"/>
    </row>
    <row r="877">
      <c r="A877" s="98"/>
      <c r="D877" s="95"/>
      <c r="L877" s="50"/>
      <c r="O877" s="98"/>
      <c r="Q877" s="95"/>
    </row>
    <row r="878">
      <c r="A878" s="98"/>
      <c r="D878" s="95"/>
      <c r="L878" s="50"/>
      <c r="O878" s="98"/>
      <c r="Q878" s="95"/>
    </row>
    <row r="879">
      <c r="A879" s="98"/>
      <c r="D879" s="95"/>
      <c r="L879" s="50"/>
      <c r="O879" s="98"/>
      <c r="Q879" s="95"/>
    </row>
    <row r="880">
      <c r="A880" s="98"/>
      <c r="D880" s="95"/>
      <c r="L880" s="50"/>
      <c r="O880" s="98"/>
      <c r="Q880" s="95"/>
    </row>
    <row r="881">
      <c r="A881" s="98"/>
      <c r="D881" s="95"/>
      <c r="L881" s="50"/>
      <c r="O881" s="98"/>
      <c r="Q881" s="95"/>
    </row>
    <row r="882">
      <c r="A882" s="98"/>
      <c r="D882" s="95"/>
      <c r="L882" s="50"/>
      <c r="O882" s="98"/>
      <c r="Q882" s="95"/>
    </row>
    <row r="883">
      <c r="A883" s="98"/>
      <c r="D883" s="95"/>
      <c r="L883" s="50"/>
      <c r="O883" s="98"/>
      <c r="Q883" s="95"/>
    </row>
    <row r="884">
      <c r="A884" s="98"/>
      <c r="D884" s="95"/>
      <c r="L884" s="50"/>
      <c r="O884" s="98"/>
      <c r="Q884" s="95"/>
    </row>
    <row r="885">
      <c r="A885" s="98"/>
      <c r="D885" s="95"/>
      <c r="L885" s="50"/>
      <c r="O885" s="98"/>
      <c r="Q885" s="95"/>
    </row>
    <row r="886">
      <c r="A886" s="98"/>
      <c r="D886" s="95"/>
      <c r="L886" s="50"/>
      <c r="O886" s="98"/>
      <c r="Q886" s="95"/>
    </row>
    <row r="887">
      <c r="A887" s="98"/>
      <c r="D887" s="95"/>
      <c r="L887" s="50"/>
      <c r="O887" s="98"/>
      <c r="Q887" s="95"/>
    </row>
    <row r="888">
      <c r="A888" s="98"/>
      <c r="D888" s="95"/>
      <c r="L888" s="50"/>
      <c r="O888" s="98"/>
      <c r="Q888" s="95"/>
    </row>
    <row r="889">
      <c r="A889" s="98"/>
      <c r="D889" s="95"/>
      <c r="L889" s="50"/>
      <c r="O889" s="98"/>
      <c r="Q889" s="95"/>
    </row>
    <row r="890">
      <c r="A890" s="98"/>
      <c r="D890" s="95"/>
      <c r="L890" s="50"/>
      <c r="O890" s="98"/>
      <c r="Q890" s="95"/>
    </row>
    <row r="891">
      <c r="A891" s="98"/>
      <c r="D891" s="95"/>
      <c r="L891" s="50"/>
      <c r="O891" s="98"/>
      <c r="Q891" s="95"/>
    </row>
    <row r="892">
      <c r="A892" s="98"/>
      <c r="D892" s="95"/>
      <c r="L892" s="50"/>
      <c r="O892" s="98"/>
      <c r="Q892" s="95"/>
    </row>
    <row r="893">
      <c r="A893" s="98"/>
      <c r="D893" s="95"/>
      <c r="L893" s="50"/>
      <c r="O893" s="98"/>
      <c r="Q893" s="95"/>
    </row>
    <row r="894">
      <c r="A894" s="98"/>
      <c r="D894" s="95"/>
      <c r="L894" s="50"/>
      <c r="O894" s="98"/>
      <c r="Q894" s="95"/>
    </row>
    <row r="895">
      <c r="A895" s="98"/>
      <c r="D895" s="95"/>
      <c r="L895" s="50"/>
      <c r="O895" s="98"/>
      <c r="Q895" s="95"/>
    </row>
    <row r="896">
      <c r="A896" s="98"/>
      <c r="D896" s="95"/>
      <c r="L896" s="50"/>
      <c r="O896" s="98"/>
      <c r="Q896" s="95"/>
    </row>
    <row r="897">
      <c r="A897" s="98"/>
      <c r="D897" s="95"/>
      <c r="L897" s="50"/>
      <c r="O897" s="98"/>
      <c r="Q897" s="95"/>
    </row>
    <row r="898">
      <c r="A898" s="98"/>
      <c r="D898" s="95"/>
      <c r="L898" s="50"/>
      <c r="O898" s="98"/>
      <c r="Q898" s="95"/>
    </row>
    <row r="899">
      <c r="A899" s="98"/>
      <c r="D899" s="95"/>
      <c r="L899" s="50"/>
      <c r="O899" s="98"/>
      <c r="Q899" s="95"/>
    </row>
    <row r="900">
      <c r="A900" s="98"/>
      <c r="D900" s="95"/>
      <c r="L900" s="50"/>
      <c r="O900" s="98"/>
      <c r="Q900" s="95"/>
    </row>
    <row r="901">
      <c r="A901" s="98"/>
      <c r="D901" s="95"/>
      <c r="L901" s="50"/>
      <c r="O901" s="98"/>
      <c r="Q901" s="95"/>
    </row>
    <row r="902">
      <c r="A902" s="98"/>
      <c r="D902" s="95"/>
      <c r="L902" s="50"/>
      <c r="O902" s="98"/>
      <c r="Q902" s="95"/>
    </row>
    <row r="903">
      <c r="A903" s="98"/>
      <c r="D903" s="95"/>
      <c r="L903" s="50"/>
      <c r="O903" s="98"/>
      <c r="Q903" s="95"/>
    </row>
    <row r="904">
      <c r="A904" s="98"/>
      <c r="D904" s="95"/>
      <c r="L904" s="50"/>
      <c r="O904" s="98"/>
      <c r="Q904" s="95"/>
    </row>
    <row r="905">
      <c r="A905" s="98"/>
      <c r="D905" s="95"/>
      <c r="L905" s="50"/>
      <c r="O905" s="98"/>
      <c r="Q905" s="95"/>
    </row>
    <row r="906">
      <c r="A906" s="98"/>
      <c r="D906" s="95"/>
      <c r="L906" s="50"/>
      <c r="O906" s="98"/>
      <c r="Q906" s="95"/>
    </row>
    <row r="907">
      <c r="A907" s="98"/>
      <c r="D907" s="95"/>
      <c r="L907" s="50"/>
      <c r="O907" s="98"/>
      <c r="Q907" s="95"/>
    </row>
    <row r="908">
      <c r="A908" s="98"/>
      <c r="D908" s="95"/>
      <c r="L908" s="50"/>
      <c r="O908" s="98"/>
      <c r="Q908" s="95"/>
    </row>
    <row r="909">
      <c r="A909" s="98"/>
      <c r="D909" s="95"/>
      <c r="L909" s="50"/>
      <c r="O909" s="98"/>
      <c r="Q909" s="95"/>
    </row>
    <row r="910">
      <c r="A910" s="98"/>
      <c r="D910" s="95"/>
      <c r="L910" s="50"/>
      <c r="O910" s="98"/>
      <c r="Q910" s="95"/>
    </row>
    <row r="911">
      <c r="A911" s="98"/>
      <c r="D911" s="95"/>
      <c r="L911" s="50"/>
      <c r="O911" s="98"/>
      <c r="Q911" s="95"/>
    </row>
    <row r="912">
      <c r="A912" s="98"/>
      <c r="D912" s="95"/>
      <c r="L912" s="50"/>
      <c r="O912" s="98"/>
      <c r="Q912" s="95"/>
    </row>
    <row r="913">
      <c r="A913" s="98"/>
      <c r="D913" s="95"/>
      <c r="L913" s="50"/>
      <c r="O913" s="98"/>
      <c r="Q913" s="95"/>
    </row>
    <row r="914">
      <c r="A914" s="98"/>
      <c r="D914" s="95"/>
      <c r="L914" s="50"/>
      <c r="O914" s="98"/>
      <c r="Q914" s="95"/>
    </row>
    <row r="915">
      <c r="A915" s="98"/>
      <c r="D915" s="95"/>
      <c r="L915" s="50"/>
      <c r="O915" s="98"/>
      <c r="Q915" s="95"/>
    </row>
    <row r="916">
      <c r="A916" s="98"/>
      <c r="D916" s="95"/>
      <c r="L916" s="50"/>
      <c r="O916" s="98"/>
      <c r="Q916" s="95"/>
    </row>
    <row r="917">
      <c r="A917" s="98"/>
      <c r="D917" s="95"/>
      <c r="L917" s="50"/>
      <c r="O917" s="98"/>
      <c r="Q917" s="95"/>
    </row>
    <row r="918">
      <c r="A918" s="98"/>
      <c r="D918" s="95"/>
      <c r="L918" s="50"/>
      <c r="O918" s="98"/>
      <c r="Q918" s="95"/>
    </row>
    <row r="919">
      <c r="A919" s="98"/>
      <c r="D919" s="95"/>
      <c r="L919" s="50"/>
      <c r="O919" s="98"/>
      <c r="Q919" s="95"/>
    </row>
    <row r="920">
      <c r="A920" s="98"/>
      <c r="D920" s="95"/>
      <c r="L920" s="50"/>
      <c r="O920" s="98"/>
      <c r="Q920" s="95"/>
    </row>
    <row r="921">
      <c r="A921" s="98"/>
      <c r="D921" s="95"/>
      <c r="L921" s="50"/>
      <c r="O921" s="98"/>
      <c r="Q921" s="95"/>
    </row>
    <row r="922">
      <c r="A922" s="98"/>
      <c r="D922" s="95"/>
      <c r="L922" s="50"/>
      <c r="O922" s="98"/>
      <c r="Q922" s="95"/>
    </row>
    <row r="923">
      <c r="A923" s="98"/>
      <c r="D923" s="95"/>
      <c r="L923" s="50"/>
      <c r="O923" s="98"/>
      <c r="Q923" s="95"/>
    </row>
    <row r="924">
      <c r="A924" s="98"/>
      <c r="D924" s="95"/>
      <c r="L924" s="50"/>
      <c r="O924" s="98"/>
      <c r="Q924" s="95"/>
    </row>
    <row r="925">
      <c r="A925" s="98"/>
      <c r="D925" s="95"/>
      <c r="L925" s="50"/>
      <c r="O925" s="98"/>
      <c r="Q925" s="95"/>
    </row>
    <row r="926">
      <c r="A926" s="98"/>
      <c r="D926" s="95"/>
      <c r="L926" s="50"/>
      <c r="O926" s="98"/>
      <c r="Q926" s="95"/>
    </row>
    <row r="927">
      <c r="A927" s="98"/>
      <c r="D927" s="95"/>
      <c r="L927" s="50"/>
      <c r="O927" s="98"/>
      <c r="Q927" s="95"/>
    </row>
    <row r="928">
      <c r="A928" s="98"/>
      <c r="D928" s="95"/>
      <c r="L928" s="50"/>
      <c r="O928" s="98"/>
      <c r="Q928" s="95"/>
    </row>
    <row r="929">
      <c r="A929" s="98"/>
      <c r="D929" s="95"/>
      <c r="L929" s="50"/>
      <c r="O929" s="98"/>
      <c r="Q929" s="95"/>
    </row>
    <row r="930">
      <c r="A930" s="98"/>
      <c r="D930" s="95"/>
      <c r="L930" s="50"/>
      <c r="O930" s="98"/>
      <c r="Q930" s="95"/>
    </row>
    <row r="931">
      <c r="A931" s="98"/>
      <c r="D931" s="95"/>
      <c r="L931" s="50"/>
      <c r="O931" s="98"/>
      <c r="Q931" s="95"/>
    </row>
    <row r="932">
      <c r="A932" s="98"/>
      <c r="D932" s="95"/>
      <c r="L932" s="50"/>
      <c r="O932" s="98"/>
      <c r="Q932" s="95"/>
    </row>
    <row r="933">
      <c r="A933" s="98"/>
      <c r="D933" s="95"/>
      <c r="L933" s="50"/>
      <c r="O933" s="98"/>
      <c r="Q933" s="95"/>
    </row>
    <row r="934">
      <c r="A934" s="98"/>
      <c r="D934" s="95"/>
      <c r="L934" s="50"/>
      <c r="O934" s="98"/>
      <c r="Q934" s="95"/>
    </row>
    <row r="935">
      <c r="A935" s="98"/>
      <c r="D935" s="95"/>
      <c r="L935" s="50"/>
      <c r="O935" s="98"/>
      <c r="Q935" s="95"/>
    </row>
    <row r="936">
      <c r="A936" s="98"/>
      <c r="D936" s="95"/>
      <c r="L936" s="50"/>
      <c r="O936" s="98"/>
      <c r="Q936" s="95"/>
    </row>
    <row r="937">
      <c r="A937" s="98"/>
      <c r="D937" s="95"/>
      <c r="L937" s="50"/>
      <c r="O937" s="98"/>
      <c r="Q937" s="95"/>
    </row>
    <row r="938">
      <c r="A938" s="98"/>
      <c r="D938" s="95"/>
      <c r="L938" s="50"/>
      <c r="O938" s="98"/>
      <c r="Q938" s="95"/>
    </row>
    <row r="939">
      <c r="A939" s="98"/>
      <c r="D939" s="95"/>
      <c r="L939" s="50"/>
      <c r="O939" s="98"/>
      <c r="Q939" s="95"/>
    </row>
    <row r="940">
      <c r="A940" s="98"/>
      <c r="D940" s="95"/>
      <c r="L940" s="50"/>
      <c r="O940" s="98"/>
      <c r="Q940" s="95"/>
    </row>
    <row r="941">
      <c r="A941" s="98"/>
      <c r="D941" s="95"/>
      <c r="L941" s="50"/>
      <c r="O941" s="98"/>
      <c r="Q941" s="95"/>
    </row>
    <row r="942">
      <c r="A942" s="98"/>
      <c r="D942" s="95"/>
      <c r="L942" s="50"/>
      <c r="O942" s="98"/>
      <c r="Q942" s="95"/>
    </row>
    <row r="943">
      <c r="A943" s="98"/>
      <c r="D943" s="95"/>
      <c r="L943" s="50"/>
      <c r="O943" s="98"/>
      <c r="Q943" s="95"/>
    </row>
    <row r="944">
      <c r="A944" s="98"/>
      <c r="D944" s="95"/>
      <c r="L944" s="50"/>
      <c r="O944" s="98"/>
      <c r="Q944" s="95"/>
    </row>
    <row r="945">
      <c r="A945" s="98"/>
      <c r="D945" s="95"/>
      <c r="L945" s="50"/>
      <c r="O945" s="98"/>
      <c r="Q945" s="95"/>
    </row>
    <row r="946">
      <c r="A946" s="98"/>
      <c r="D946" s="95"/>
      <c r="L946" s="50"/>
      <c r="O946" s="98"/>
      <c r="Q946" s="95"/>
    </row>
    <row r="947">
      <c r="A947" s="98"/>
      <c r="D947" s="95"/>
      <c r="L947" s="50"/>
      <c r="O947" s="98"/>
      <c r="Q947" s="95"/>
    </row>
    <row r="948">
      <c r="A948" s="98"/>
      <c r="D948" s="95"/>
      <c r="L948" s="50"/>
      <c r="O948" s="98"/>
      <c r="Q948" s="95"/>
    </row>
    <row r="949">
      <c r="A949" s="98"/>
      <c r="D949" s="95"/>
      <c r="L949" s="50"/>
      <c r="O949" s="98"/>
      <c r="Q949" s="95"/>
    </row>
    <row r="950">
      <c r="A950" s="98"/>
      <c r="D950" s="95"/>
      <c r="L950" s="50"/>
      <c r="O950" s="98"/>
      <c r="Q950" s="95"/>
    </row>
    <row r="951">
      <c r="A951" s="98"/>
      <c r="D951" s="95"/>
      <c r="L951" s="50"/>
      <c r="O951" s="98"/>
      <c r="Q951" s="95"/>
    </row>
    <row r="952">
      <c r="A952" s="98"/>
      <c r="D952" s="95"/>
      <c r="L952" s="50"/>
      <c r="O952" s="98"/>
      <c r="Q952" s="95"/>
    </row>
    <row r="953">
      <c r="A953" s="98"/>
      <c r="D953" s="95"/>
      <c r="L953" s="50"/>
      <c r="O953" s="98"/>
      <c r="Q953" s="95"/>
    </row>
    <row r="954">
      <c r="A954" s="98"/>
      <c r="D954" s="95"/>
      <c r="L954" s="50"/>
      <c r="O954" s="98"/>
      <c r="Q954" s="95"/>
    </row>
    <row r="955">
      <c r="A955" s="98"/>
      <c r="D955" s="95"/>
      <c r="L955" s="50"/>
      <c r="O955" s="98"/>
      <c r="Q955" s="95"/>
    </row>
    <row r="956">
      <c r="A956" s="98"/>
      <c r="D956" s="95"/>
      <c r="L956" s="50"/>
      <c r="O956" s="98"/>
      <c r="Q956" s="95"/>
    </row>
    <row r="957">
      <c r="A957" s="98"/>
      <c r="D957" s="95"/>
      <c r="L957" s="50"/>
      <c r="O957" s="98"/>
      <c r="Q957" s="95"/>
    </row>
    <row r="958">
      <c r="A958" s="98"/>
      <c r="D958" s="95"/>
      <c r="L958" s="50"/>
      <c r="O958" s="98"/>
      <c r="Q958" s="95"/>
    </row>
    <row r="959">
      <c r="A959" s="98"/>
      <c r="D959" s="95"/>
      <c r="L959" s="50"/>
      <c r="O959" s="98"/>
      <c r="Q959" s="95"/>
    </row>
    <row r="960">
      <c r="A960" s="98"/>
      <c r="D960" s="95"/>
      <c r="L960" s="50"/>
      <c r="O960" s="98"/>
      <c r="Q960" s="95"/>
    </row>
    <row r="961">
      <c r="A961" s="98"/>
      <c r="D961" s="95"/>
      <c r="L961" s="50"/>
      <c r="O961" s="98"/>
      <c r="Q961" s="95"/>
    </row>
    <row r="962">
      <c r="A962" s="98"/>
      <c r="D962" s="95"/>
      <c r="L962" s="50"/>
      <c r="O962" s="98"/>
      <c r="Q962" s="95"/>
    </row>
    <row r="963">
      <c r="A963" s="98"/>
      <c r="D963" s="95"/>
      <c r="L963" s="50"/>
      <c r="O963" s="98"/>
      <c r="Q963" s="95"/>
    </row>
    <row r="964">
      <c r="A964" s="98"/>
      <c r="D964" s="95"/>
      <c r="L964" s="50"/>
      <c r="O964" s="98"/>
      <c r="Q964" s="95"/>
    </row>
    <row r="965">
      <c r="A965" s="98"/>
      <c r="D965" s="95"/>
      <c r="L965" s="50"/>
      <c r="O965" s="98"/>
      <c r="Q965" s="95"/>
    </row>
    <row r="966">
      <c r="A966" s="98"/>
      <c r="D966" s="95"/>
      <c r="L966" s="50"/>
      <c r="O966" s="98"/>
      <c r="Q966" s="95"/>
    </row>
    <row r="967">
      <c r="A967" s="98"/>
      <c r="D967" s="95"/>
      <c r="L967" s="50"/>
      <c r="O967" s="98"/>
      <c r="Q967" s="95"/>
    </row>
    <row r="968">
      <c r="A968" s="98"/>
      <c r="D968" s="95"/>
      <c r="L968" s="50"/>
      <c r="O968" s="98"/>
      <c r="Q968" s="95"/>
    </row>
    <row r="969">
      <c r="A969" s="98"/>
      <c r="D969" s="95"/>
      <c r="L969" s="50"/>
      <c r="O969" s="98"/>
      <c r="Q969" s="95"/>
    </row>
    <row r="970">
      <c r="A970" s="98"/>
      <c r="D970" s="95"/>
      <c r="L970" s="50"/>
      <c r="O970" s="98"/>
      <c r="Q970" s="95"/>
    </row>
    <row r="971">
      <c r="A971" s="98"/>
      <c r="D971" s="95"/>
      <c r="L971" s="50"/>
      <c r="O971" s="98"/>
      <c r="Q971" s="95"/>
    </row>
    <row r="972">
      <c r="A972" s="98"/>
      <c r="D972" s="95"/>
      <c r="L972" s="50"/>
      <c r="O972" s="98"/>
      <c r="Q972" s="95"/>
    </row>
    <row r="973">
      <c r="A973" s="98"/>
      <c r="D973" s="95"/>
      <c r="L973" s="50"/>
      <c r="O973" s="98"/>
      <c r="Q973" s="95"/>
    </row>
    <row r="974">
      <c r="A974" s="98"/>
      <c r="D974" s="95"/>
      <c r="L974" s="50"/>
      <c r="O974" s="98"/>
      <c r="Q974" s="95"/>
    </row>
    <row r="975">
      <c r="A975" s="98"/>
      <c r="D975" s="95"/>
      <c r="L975" s="50"/>
      <c r="O975" s="98"/>
      <c r="Q975" s="95"/>
    </row>
    <row r="976">
      <c r="A976" s="98"/>
      <c r="D976" s="95"/>
      <c r="L976" s="50"/>
      <c r="O976" s="98"/>
      <c r="Q976" s="95"/>
    </row>
    <row r="977">
      <c r="A977" s="98"/>
      <c r="D977" s="95"/>
      <c r="L977" s="50"/>
      <c r="O977" s="98"/>
      <c r="Q977" s="95"/>
    </row>
    <row r="978">
      <c r="A978" s="98"/>
      <c r="D978" s="95"/>
      <c r="L978" s="50"/>
      <c r="O978" s="98"/>
      <c r="Q978" s="95"/>
    </row>
    <row r="979">
      <c r="A979" s="98"/>
      <c r="D979" s="95"/>
      <c r="L979" s="50"/>
      <c r="O979" s="98"/>
      <c r="Q979" s="95"/>
    </row>
    <row r="980">
      <c r="A980" s="98"/>
      <c r="D980" s="95"/>
      <c r="L980" s="50"/>
      <c r="O980" s="98"/>
      <c r="Q980" s="95"/>
    </row>
    <row r="981">
      <c r="A981" s="98"/>
      <c r="D981" s="95"/>
      <c r="L981" s="50"/>
      <c r="O981" s="98"/>
      <c r="Q981" s="95"/>
    </row>
    <row r="982">
      <c r="A982" s="98"/>
      <c r="D982" s="95"/>
      <c r="L982" s="50"/>
      <c r="O982" s="98"/>
      <c r="Q982" s="95"/>
    </row>
    <row r="983">
      <c r="A983" s="98"/>
      <c r="D983" s="95"/>
      <c r="L983" s="50"/>
      <c r="O983" s="98"/>
      <c r="Q983" s="95"/>
    </row>
    <row r="984">
      <c r="A984" s="98"/>
      <c r="D984" s="95"/>
      <c r="L984" s="50"/>
      <c r="O984" s="98"/>
      <c r="Q984" s="95"/>
    </row>
    <row r="985">
      <c r="A985" s="98"/>
      <c r="D985" s="95"/>
      <c r="L985" s="50"/>
      <c r="O985" s="98"/>
      <c r="Q985" s="95"/>
    </row>
    <row r="986">
      <c r="A986" s="98"/>
      <c r="D986" s="95"/>
      <c r="L986" s="50"/>
      <c r="O986" s="98"/>
      <c r="Q986" s="95"/>
    </row>
    <row r="987">
      <c r="A987" s="98"/>
      <c r="D987" s="95"/>
      <c r="L987" s="50"/>
      <c r="O987" s="98"/>
      <c r="Q987" s="95"/>
    </row>
    <row r="988">
      <c r="A988" s="98"/>
      <c r="D988" s="95"/>
      <c r="L988" s="50"/>
      <c r="O988" s="98"/>
      <c r="Q988" s="95"/>
    </row>
    <row r="989">
      <c r="A989" s="98"/>
      <c r="D989" s="95"/>
      <c r="L989" s="50"/>
      <c r="O989" s="98"/>
      <c r="Q989" s="95"/>
    </row>
    <row r="990">
      <c r="A990" s="98"/>
      <c r="D990" s="95"/>
      <c r="L990" s="50"/>
      <c r="O990" s="98"/>
      <c r="Q990" s="95"/>
    </row>
    <row r="991">
      <c r="A991" s="98"/>
      <c r="D991" s="95"/>
      <c r="L991" s="50"/>
      <c r="O991" s="98"/>
      <c r="Q991" s="95"/>
    </row>
    <row r="992">
      <c r="A992" s="98"/>
      <c r="D992" s="95"/>
      <c r="L992" s="50"/>
      <c r="O992" s="98"/>
      <c r="Q992" s="95"/>
    </row>
    <row r="993">
      <c r="A993" s="98"/>
      <c r="D993" s="95"/>
      <c r="L993" s="50"/>
      <c r="O993" s="98"/>
      <c r="Q993" s="95"/>
    </row>
    <row r="994">
      <c r="A994" s="98"/>
      <c r="D994" s="95"/>
      <c r="L994" s="50"/>
      <c r="O994" s="98"/>
      <c r="Q994" s="95"/>
    </row>
    <row r="995">
      <c r="A995" s="98"/>
      <c r="D995" s="95"/>
      <c r="L995" s="50"/>
      <c r="O995" s="98"/>
      <c r="Q995" s="95"/>
    </row>
    <row r="996">
      <c r="A996" s="98"/>
      <c r="D996" s="95"/>
      <c r="L996" s="50"/>
      <c r="O996" s="98"/>
      <c r="Q996" s="95"/>
    </row>
    <row r="997">
      <c r="A997" s="98"/>
      <c r="D997" s="95"/>
      <c r="L997" s="50"/>
      <c r="O997" s="98"/>
      <c r="Q997" s="95"/>
    </row>
    <row r="998">
      <c r="A998" s="98"/>
      <c r="D998" s="95"/>
      <c r="L998" s="50"/>
      <c r="O998" s="98"/>
      <c r="Q998" s="95"/>
    </row>
    <row r="999">
      <c r="A999" s="98"/>
      <c r="D999" s="95"/>
      <c r="L999" s="50"/>
      <c r="O999" s="98"/>
      <c r="Q999" s="95"/>
    </row>
    <row r="1000">
      <c r="A1000" s="98"/>
      <c r="D1000" s="95"/>
      <c r="L1000" s="50"/>
      <c r="O1000" s="98"/>
      <c r="Q1000" s="95"/>
    </row>
    <row r="1001">
      <c r="A1001" s="98"/>
      <c r="D1001" s="95"/>
      <c r="L1001" s="50"/>
      <c r="O1001" s="98"/>
      <c r="Q1001" s="95"/>
    </row>
    <row r="1002">
      <c r="A1002" s="98"/>
      <c r="D1002" s="95"/>
      <c r="L1002" s="50"/>
      <c r="O1002" s="98"/>
      <c r="Q1002" s="95"/>
    </row>
    <row r="1003">
      <c r="A1003" s="98"/>
      <c r="D1003" s="95"/>
      <c r="L1003" s="50"/>
    </row>
  </sheetData>
  <autoFilter ref="$N$2:$N$67"/>
  <mergeCells count="29">
    <mergeCell ref="C1:L2"/>
    <mergeCell ref="N1:Q1"/>
    <mergeCell ref="C4:G4"/>
    <mergeCell ref="H4:I4"/>
    <mergeCell ref="C7:D7"/>
    <mergeCell ref="J7:K7"/>
    <mergeCell ref="B34:C34"/>
    <mergeCell ref="C35:D35"/>
    <mergeCell ref="C36:D36"/>
    <mergeCell ref="C37:D37"/>
    <mergeCell ref="C38:D38"/>
    <mergeCell ref="C39:D39"/>
    <mergeCell ref="C40:D40"/>
    <mergeCell ref="C41:D41"/>
    <mergeCell ref="C49:D49"/>
    <mergeCell ref="C50:D50"/>
    <mergeCell ref="C51:D51"/>
    <mergeCell ref="C52:D52"/>
    <mergeCell ref="C53:D53"/>
    <mergeCell ref="C54:D54"/>
    <mergeCell ref="C55:D55"/>
    <mergeCell ref="C56:D56"/>
    <mergeCell ref="C42:D42"/>
    <mergeCell ref="C43:D43"/>
    <mergeCell ref="C44:D44"/>
    <mergeCell ref="C45:D45"/>
    <mergeCell ref="C46:D46"/>
    <mergeCell ref="C47:D47"/>
    <mergeCell ref="C48:D4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4.88"/>
    <col customWidth="1" min="3" max="3" width="19.25"/>
    <col customWidth="1" min="5" max="5" width="16.38"/>
    <col customWidth="1" min="8" max="8" width="13.5"/>
    <col customWidth="1" min="10" max="10" width="25.5"/>
    <col customWidth="1" min="14" max="14" width="25.13"/>
    <col customWidth="1" min="15" max="15" width="18.0"/>
    <col customWidth="1" min="16" max="16" width="15.13"/>
    <col customWidth="1" min="22" max="22" width="18.88"/>
  </cols>
  <sheetData>
    <row r="1">
      <c r="A1" s="7"/>
      <c r="B1" s="8"/>
      <c r="C1" s="9" t="s">
        <v>22</v>
      </c>
      <c r="M1" s="10"/>
      <c r="N1" s="11" t="s">
        <v>23</v>
      </c>
      <c r="R1" s="12">
        <f>SUM(Q3:Q87)- SUM(P3:P87)</f>
        <v>2750.03</v>
      </c>
      <c r="S1" s="10"/>
      <c r="T1" s="10"/>
    </row>
    <row r="2">
      <c r="A2" s="7"/>
      <c r="B2" s="8"/>
      <c r="M2" s="10"/>
      <c r="N2" s="13" t="s">
        <v>26</v>
      </c>
      <c r="O2" s="14" t="s">
        <v>27</v>
      </c>
      <c r="P2" s="13" t="s">
        <v>28</v>
      </c>
      <c r="Q2" s="15" t="s">
        <v>29</v>
      </c>
      <c r="R2" s="16"/>
      <c r="S2" s="17">
        <v>1219.0</v>
      </c>
      <c r="T2" s="10"/>
    </row>
    <row r="3">
      <c r="A3" s="7"/>
      <c r="B3" s="8"/>
      <c r="C3" s="8"/>
      <c r="D3" s="18"/>
      <c r="E3" s="8"/>
      <c r="F3" s="8"/>
      <c r="G3" s="8"/>
      <c r="H3" s="8"/>
      <c r="I3" s="8"/>
      <c r="J3" s="8"/>
      <c r="K3" s="8"/>
      <c r="L3" s="19"/>
      <c r="M3" s="10"/>
      <c r="N3" s="20" t="s">
        <v>259</v>
      </c>
      <c r="O3" s="21"/>
      <c r="P3" s="22"/>
      <c r="Q3" s="23">
        <v>2200.0</v>
      </c>
      <c r="R3" s="10"/>
      <c r="S3" s="10"/>
      <c r="T3" s="10"/>
    </row>
    <row r="4">
      <c r="A4" s="7"/>
      <c r="B4" s="8"/>
      <c r="C4" s="24" t="s">
        <v>31</v>
      </c>
      <c r="H4" s="25">
        <f>SUM(H8:H75)</f>
        <v>0</v>
      </c>
      <c r="J4" s="8"/>
      <c r="K4" s="8"/>
      <c r="L4" s="19"/>
      <c r="M4" s="10"/>
      <c r="N4" s="20" t="s">
        <v>78</v>
      </c>
      <c r="O4" s="31">
        <v>6754788.0</v>
      </c>
      <c r="P4" s="22">
        <v>400.0</v>
      </c>
      <c r="Q4" s="23"/>
      <c r="R4" s="10"/>
      <c r="S4" s="16" t="s">
        <v>34</v>
      </c>
      <c r="T4" s="115"/>
      <c r="V4" s="3"/>
      <c r="W4" s="3"/>
    </row>
    <row r="5">
      <c r="A5" s="7"/>
      <c r="B5" s="8"/>
      <c r="C5" s="8"/>
      <c r="D5" s="18"/>
      <c r="E5" s="8"/>
      <c r="F5" s="8"/>
      <c r="G5" s="8"/>
      <c r="H5" s="8"/>
      <c r="I5" s="8"/>
      <c r="J5" s="8"/>
      <c r="K5" s="8"/>
      <c r="L5" s="19"/>
      <c r="M5" s="10"/>
      <c r="N5" s="20" t="s">
        <v>78</v>
      </c>
      <c r="O5" s="31">
        <v>1015193.0</v>
      </c>
      <c r="P5" s="22">
        <v>500.4</v>
      </c>
      <c r="Q5" s="23"/>
      <c r="R5" s="10"/>
      <c r="S5" s="32" t="s">
        <v>37</v>
      </c>
      <c r="T5" s="116">
        <f>T4*20%</f>
        <v>0</v>
      </c>
    </row>
    <row r="6">
      <c r="A6" s="7"/>
      <c r="B6" s="8"/>
      <c r="C6" s="8"/>
      <c r="D6" s="18"/>
      <c r="E6" s="8"/>
      <c r="F6" s="8"/>
      <c r="G6" s="8"/>
      <c r="H6" s="8"/>
      <c r="I6" s="8"/>
      <c r="J6" s="8"/>
      <c r="K6" s="8"/>
      <c r="L6" s="19"/>
      <c r="M6" s="10"/>
      <c r="N6" s="20" t="s">
        <v>73</v>
      </c>
      <c r="O6" s="31">
        <v>1015193.0</v>
      </c>
      <c r="P6" s="22">
        <v>50.0</v>
      </c>
      <c r="Q6" s="23"/>
      <c r="R6" s="10"/>
      <c r="S6" s="32" t="s">
        <v>38</v>
      </c>
      <c r="T6" s="116">
        <f>T4*20%</f>
        <v>0</v>
      </c>
    </row>
    <row r="7">
      <c r="A7" s="34"/>
      <c r="B7" s="10"/>
      <c r="C7" s="35" t="s">
        <v>39</v>
      </c>
      <c r="E7" s="10"/>
      <c r="F7" s="10"/>
      <c r="G7" s="10"/>
      <c r="H7" s="10"/>
      <c r="I7" s="10"/>
      <c r="J7" s="35" t="s">
        <v>32</v>
      </c>
      <c r="L7" s="36"/>
      <c r="M7" s="10"/>
      <c r="N7" s="20" t="s">
        <v>78</v>
      </c>
      <c r="O7" s="31">
        <v>6941149.0</v>
      </c>
      <c r="P7" s="22">
        <v>340.0</v>
      </c>
      <c r="Q7" s="23"/>
      <c r="R7" s="10"/>
      <c r="S7" s="32" t="s">
        <v>42</v>
      </c>
      <c r="T7" s="116">
        <f>T4*30%</f>
        <v>0</v>
      </c>
    </row>
    <row r="8">
      <c r="A8" s="14" t="s">
        <v>44</v>
      </c>
      <c r="B8" s="14" t="s">
        <v>45</v>
      </c>
      <c r="C8" s="14" t="s">
        <v>46</v>
      </c>
      <c r="D8" s="37" t="s">
        <v>47</v>
      </c>
      <c r="E8" s="14" t="s">
        <v>48</v>
      </c>
      <c r="F8" s="14" t="s">
        <v>49</v>
      </c>
      <c r="G8" s="14" t="s">
        <v>50</v>
      </c>
      <c r="H8" s="10"/>
      <c r="I8" s="13" t="s">
        <v>51</v>
      </c>
      <c r="J8" s="13" t="s">
        <v>52</v>
      </c>
      <c r="K8" s="13" t="s">
        <v>53</v>
      </c>
      <c r="L8" s="38" t="s">
        <v>54</v>
      </c>
      <c r="M8" s="10"/>
      <c r="N8" s="20" t="s">
        <v>73</v>
      </c>
      <c r="O8" s="31">
        <v>6941149.0</v>
      </c>
      <c r="P8" s="22">
        <v>22.6</v>
      </c>
      <c r="Q8" s="23"/>
      <c r="R8" s="10"/>
      <c r="S8" s="32" t="s">
        <v>56</v>
      </c>
      <c r="T8" s="116">
        <f>T4*30%</f>
        <v>0</v>
      </c>
    </row>
    <row r="9">
      <c r="A9" s="110">
        <v>983.0</v>
      </c>
      <c r="B9" s="111">
        <v>46155.0</v>
      </c>
      <c r="C9" s="99" t="s">
        <v>83</v>
      </c>
      <c r="D9" s="112">
        <v>46157.0</v>
      </c>
      <c r="E9" s="99" t="s">
        <v>260</v>
      </c>
      <c r="F9" s="100"/>
      <c r="G9" s="101">
        <v>4000.0</v>
      </c>
      <c r="H9" s="10"/>
      <c r="I9" s="30">
        <v>6754788.0</v>
      </c>
      <c r="J9" s="30" t="s">
        <v>261</v>
      </c>
      <c r="K9" s="30">
        <v>69.699</v>
      </c>
      <c r="L9" s="51">
        <v>400.0</v>
      </c>
      <c r="M9" s="10"/>
      <c r="N9" s="20" t="s">
        <v>78</v>
      </c>
      <c r="O9" s="31">
        <v>10652.0</v>
      </c>
      <c r="P9" s="22">
        <v>400.0</v>
      </c>
      <c r="Q9" s="23"/>
      <c r="R9" s="10"/>
      <c r="S9" s="10"/>
      <c r="T9" s="10"/>
    </row>
    <row r="10">
      <c r="A10" s="110">
        <v>987.0</v>
      </c>
      <c r="B10" s="112">
        <v>46157.0</v>
      </c>
      <c r="C10" s="99" t="s">
        <v>262</v>
      </c>
      <c r="D10" s="112">
        <v>46160.0</v>
      </c>
      <c r="E10" s="99" t="s">
        <v>263</v>
      </c>
      <c r="F10" s="100"/>
      <c r="G10" s="101">
        <v>3200.0</v>
      </c>
      <c r="H10" s="10"/>
      <c r="I10" s="30">
        <v>1015193.0</v>
      </c>
      <c r="J10" s="30" t="s">
        <v>110</v>
      </c>
      <c r="K10" s="30">
        <v>105.148</v>
      </c>
      <c r="L10" s="51">
        <v>500.4</v>
      </c>
      <c r="M10" s="10"/>
      <c r="N10" s="20" t="s">
        <v>78</v>
      </c>
      <c r="O10" s="31">
        <v>3.5013779E7</v>
      </c>
      <c r="P10" s="22">
        <v>700.0</v>
      </c>
      <c r="Q10" s="23"/>
      <c r="R10" s="10"/>
      <c r="S10" s="10"/>
      <c r="T10" s="10"/>
    </row>
    <row r="11">
      <c r="A11" s="110">
        <v>990.0</v>
      </c>
      <c r="B11" s="111"/>
      <c r="C11" s="99" t="s">
        <v>264</v>
      </c>
      <c r="D11" s="112"/>
      <c r="E11" s="99" t="s">
        <v>265</v>
      </c>
      <c r="F11" s="100"/>
      <c r="G11" s="101">
        <v>1900.0</v>
      </c>
      <c r="H11" s="10"/>
      <c r="I11" s="30">
        <v>6941149.0</v>
      </c>
      <c r="J11" s="30" t="s">
        <v>266</v>
      </c>
      <c r="K11" s="30">
        <v>66.81</v>
      </c>
      <c r="L11" s="51">
        <v>340.0</v>
      </c>
      <c r="M11" s="10"/>
      <c r="N11" s="20" t="s">
        <v>78</v>
      </c>
      <c r="O11" s="31">
        <v>3.8014001E7</v>
      </c>
      <c r="P11" s="22">
        <v>600.0</v>
      </c>
      <c r="Q11" s="23"/>
      <c r="R11" s="10"/>
      <c r="S11" s="10"/>
      <c r="T11" s="10"/>
    </row>
    <row r="12">
      <c r="A12" s="110">
        <v>991.0</v>
      </c>
      <c r="B12" s="100" t="s">
        <v>267</v>
      </c>
      <c r="C12" s="99" t="s">
        <v>268</v>
      </c>
      <c r="D12" s="100" t="s">
        <v>267</v>
      </c>
      <c r="E12" s="99" t="s">
        <v>268</v>
      </c>
      <c r="F12" s="100"/>
      <c r="G12" s="101">
        <v>150.0</v>
      </c>
      <c r="H12" s="10"/>
      <c r="I12" s="30">
        <v>10652.0</v>
      </c>
      <c r="J12" s="30" t="s">
        <v>269</v>
      </c>
      <c r="K12" s="30">
        <v>67.808</v>
      </c>
      <c r="L12" s="51">
        <v>400.0</v>
      </c>
      <c r="M12" s="10"/>
      <c r="N12" s="20" t="s">
        <v>78</v>
      </c>
      <c r="O12" s="31">
        <v>6694916.0</v>
      </c>
      <c r="P12" s="22">
        <v>400.0</v>
      </c>
      <c r="Q12" s="23"/>
      <c r="R12" s="10"/>
      <c r="S12" s="10"/>
      <c r="T12" s="10"/>
    </row>
    <row r="13">
      <c r="A13" s="110">
        <v>993.0</v>
      </c>
      <c r="B13" s="111">
        <v>46161.0</v>
      </c>
      <c r="C13" s="99" t="s">
        <v>270</v>
      </c>
      <c r="D13" s="111">
        <v>46162.0</v>
      </c>
      <c r="E13" s="99" t="s">
        <v>271</v>
      </c>
      <c r="F13" s="100"/>
      <c r="G13" s="101">
        <v>1500.0</v>
      </c>
      <c r="H13" s="10"/>
      <c r="I13" s="69">
        <v>3.5013779E7</v>
      </c>
      <c r="J13" s="30" t="s">
        <v>272</v>
      </c>
      <c r="K13" s="30">
        <v>142.017</v>
      </c>
      <c r="L13" s="51">
        <v>700.0</v>
      </c>
      <c r="M13" s="10"/>
      <c r="N13" s="20" t="s">
        <v>78</v>
      </c>
      <c r="O13" s="31">
        <v>31.0</v>
      </c>
      <c r="P13" s="22">
        <v>731.0</v>
      </c>
      <c r="Q13" s="23"/>
      <c r="R13" s="10"/>
      <c r="S13" s="10"/>
      <c r="T13" s="10"/>
    </row>
    <row r="14">
      <c r="A14" s="110">
        <v>996.0</v>
      </c>
      <c r="B14" s="111">
        <v>46162.0</v>
      </c>
      <c r="C14" s="99" t="s">
        <v>273</v>
      </c>
      <c r="D14" s="111">
        <v>46163.0</v>
      </c>
      <c r="E14" s="99" t="s">
        <v>270</v>
      </c>
      <c r="F14" s="100"/>
      <c r="G14" s="101">
        <v>1900.0</v>
      </c>
      <c r="H14" s="10"/>
      <c r="I14" s="69">
        <v>3.8014001E7</v>
      </c>
      <c r="J14" s="30" t="s">
        <v>272</v>
      </c>
      <c r="K14" s="30">
        <v>121.729</v>
      </c>
      <c r="L14" s="51">
        <v>600.0</v>
      </c>
      <c r="M14" s="10"/>
      <c r="N14" s="20" t="s">
        <v>40</v>
      </c>
      <c r="O14" s="21" t="s">
        <v>274</v>
      </c>
      <c r="P14" s="22"/>
      <c r="Q14" s="23">
        <v>6264.0</v>
      </c>
      <c r="R14" s="10"/>
      <c r="S14" s="10"/>
      <c r="T14" s="10"/>
    </row>
    <row r="15">
      <c r="A15" s="110">
        <v>997.0</v>
      </c>
      <c r="B15" s="111">
        <v>46163.0</v>
      </c>
      <c r="C15" s="99" t="s">
        <v>275</v>
      </c>
      <c r="D15" s="111">
        <v>46164.0</v>
      </c>
      <c r="E15" s="99" t="s">
        <v>276</v>
      </c>
      <c r="F15" s="100"/>
      <c r="G15" s="101">
        <v>2200.0</v>
      </c>
      <c r="H15" s="10"/>
      <c r="I15" s="69">
        <v>6694916.0</v>
      </c>
      <c r="J15" s="30" t="s">
        <v>277</v>
      </c>
      <c r="K15" s="30">
        <v>75.202</v>
      </c>
      <c r="L15" s="51">
        <v>400.0</v>
      </c>
      <c r="M15" s="10"/>
      <c r="N15" s="20" t="s">
        <v>60</v>
      </c>
      <c r="O15" s="21" t="s">
        <v>278</v>
      </c>
      <c r="P15" s="22">
        <v>1562.0</v>
      </c>
      <c r="Q15" s="23"/>
      <c r="R15" s="10"/>
      <c r="S15" s="10"/>
      <c r="T15" s="10"/>
    </row>
    <row r="16">
      <c r="A16" s="110">
        <v>1000.0</v>
      </c>
      <c r="B16" s="111">
        <v>46165.0</v>
      </c>
      <c r="C16" s="99" t="s">
        <v>279</v>
      </c>
      <c r="D16" s="112">
        <v>46168.0</v>
      </c>
      <c r="E16" s="99" t="s">
        <v>280</v>
      </c>
      <c r="F16" s="100"/>
      <c r="G16" s="101">
        <v>3200.0</v>
      </c>
      <c r="H16" s="10"/>
      <c r="I16" s="69">
        <v>31.0</v>
      </c>
      <c r="J16" s="30" t="s">
        <v>281</v>
      </c>
      <c r="K16" s="30">
        <v>149.215</v>
      </c>
      <c r="L16" s="51">
        <v>731.0</v>
      </c>
      <c r="M16" s="10"/>
      <c r="N16" s="20" t="s">
        <v>78</v>
      </c>
      <c r="O16" s="117">
        <v>36.0</v>
      </c>
      <c r="P16" s="22">
        <v>22.0</v>
      </c>
      <c r="Q16" s="23"/>
      <c r="R16" s="10"/>
      <c r="S16" s="10"/>
      <c r="T16" s="10"/>
    </row>
    <row r="17">
      <c r="A17" s="110"/>
      <c r="B17" s="111"/>
      <c r="C17" s="99"/>
      <c r="D17" s="112"/>
      <c r="E17" s="99"/>
      <c r="F17" s="100"/>
      <c r="G17" s="101"/>
      <c r="H17" s="10"/>
      <c r="I17" s="69">
        <v>26.0</v>
      </c>
      <c r="J17" s="30" t="s">
        <v>281</v>
      </c>
      <c r="K17" s="30">
        <v>11.006</v>
      </c>
      <c r="L17" s="51">
        <v>22.0</v>
      </c>
      <c r="M17" s="10"/>
      <c r="N17" s="20" t="s">
        <v>78</v>
      </c>
      <c r="O17" s="31">
        <v>2250497.0</v>
      </c>
      <c r="P17" s="22">
        <v>300.0</v>
      </c>
      <c r="Q17" s="23"/>
      <c r="R17" s="10"/>
      <c r="S17" s="10"/>
      <c r="T17" s="10"/>
    </row>
    <row r="18">
      <c r="A18" s="110"/>
      <c r="B18" s="111"/>
      <c r="C18" s="99"/>
      <c r="D18" s="112"/>
      <c r="E18" s="99"/>
      <c r="F18" s="100"/>
      <c r="G18" s="101"/>
      <c r="H18" s="10"/>
      <c r="I18" s="69">
        <v>2250497.0</v>
      </c>
      <c r="J18" s="30" t="s">
        <v>282</v>
      </c>
      <c r="K18" s="30">
        <v>54.064</v>
      </c>
      <c r="L18" s="51">
        <v>300.0</v>
      </c>
      <c r="M18" s="10"/>
      <c r="N18" s="20" t="s">
        <v>78</v>
      </c>
      <c r="O18" s="31">
        <v>3017961.0</v>
      </c>
      <c r="P18" s="22">
        <v>770.0</v>
      </c>
      <c r="Q18" s="23"/>
      <c r="R18" s="10"/>
      <c r="S18" s="10"/>
      <c r="T18" s="10"/>
    </row>
    <row r="19">
      <c r="A19" s="110"/>
      <c r="B19" s="111"/>
      <c r="C19" s="99"/>
      <c r="D19" s="112"/>
      <c r="E19" s="99"/>
      <c r="F19" s="100"/>
      <c r="G19" s="101"/>
      <c r="H19" s="10"/>
      <c r="I19" s="69">
        <v>3017961.0</v>
      </c>
      <c r="J19" s="30" t="s">
        <v>110</v>
      </c>
      <c r="K19" s="30">
        <v>158.469</v>
      </c>
      <c r="L19" s="51">
        <v>770.0</v>
      </c>
      <c r="M19" s="10"/>
      <c r="N19" s="20" t="s">
        <v>73</v>
      </c>
      <c r="O19" s="31">
        <v>3017961.0</v>
      </c>
      <c r="P19" s="22">
        <v>42.0</v>
      </c>
      <c r="Q19" s="23"/>
      <c r="R19" s="10"/>
      <c r="S19" s="10"/>
      <c r="T19" s="10"/>
    </row>
    <row r="20">
      <c r="A20" s="110"/>
      <c r="B20" s="111"/>
      <c r="C20" s="99"/>
      <c r="D20" s="112"/>
      <c r="E20" s="99"/>
      <c r="F20" s="100"/>
      <c r="G20" s="101"/>
      <c r="H20" s="10"/>
      <c r="I20" s="30">
        <v>15580.0</v>
      </c>
      <c r="J20" s="30" t="s">
        <v>283</v>
      </c>
      <c r="K20" s="30">
        <v>79.067</v>
      </c>
      <c r="L20" s="51">
        <v>400.0</v>
      </c>
      <c r="M20" s="10"/>
      <c r="N20" s="20" t="s">
        <v>40</v>
      </c>
      <c r="O20" s="31" t="s">
        <v>284</v>
      </c>
      <c r="P20" s="22"/>
      <c r="Q20" s="23">
        <v>1783.0</v>
      </c>
      <c r="R20" s="10"/>
      <c r="S20" s="10"/>
      <c r="T20" s="10"/>
    </row>
    <row r="21">
      <c r="A21" s="110"/>
      <c r="B21" s="111"/>
      <c r="C21" s="99"/>
      <c r="D21" s="112"/>
      <c r="E21" s="99"/>
      <c r="F21" s="100"/>
      <c r="G21" s="101"/>
      <c r="H21" s="10"/>
      <c r="I21" s="30">
        <v>5320433.0</v>
      </c>
      <c r="J21" s="30" t="s">
        <v>285</v>
      </c>
      <c r="K21" s="30">
        <v>125.026</v>
      </c>
      <c r="L21" s="51">
        <v>600.0</v>
      </c>
      <c r="M21" s="10"/>
      <c r="N21" s="20" t="s">
        <v>254</v>
      </c>
      <c r="O21" s="31" t="s">
        <v>286</v>
      </c>
      <c r="P21" s="22">
        <v>120.0</v>
      </c>
      <c r="Q21" s="23"/>
      <c r="R21" s="10"/>
      <c r="S21" s="10"/>
      <c r="T21" s="10"/>
    </row>
    <row r="22">
      <c r="A22" s="110"/>
      <c r="B22" s="111"/>
      <c r="C22" s="99"/>
      <c r="D22" s="112"/>
      <c r="E22" s="99"/>
      <c r="F22" s="100"/>
      <c r="G22" s="101"/>
      <c r="H22" s="10"/>
      <c r="I22" s="69" t="s">
        <v>287</v>
      </c>
      <c r="J22" s="30" t="s">
        <v>288</v>
      </c>
      <c r="K22" s="30">
        <v>100.021</v>
      </c>
      <c r="L22" s="51">
        <v>470.0</v>
      </c>
      <c r="M22" s="10"/>
      <c r="N22" s="20" t="s">
        <v>289</v>
      </c>
      <c r="O22" s="31" t="s">
        <v>164</v>
      </c>
      <c r="P22" s="22">
        <v>310.0</v>
      </c>
      <c r="Q22" s="23"/>
      <c r="R22" s="10"/>
      <c r="S22" s="10"/>
      <c r="T22" s="10"/>
    </row>
    <row r="23">
      <c r="A23" s="110"/>
      <c r="B23" s="111"/>
      <c r="C23" s="99"/>
      <c r="D23" s="112"/>
      <c r="E23" s="99"/>
      <c r="F23" s="100"/>
      <c r="G23" s="101"/>
      <c r="H23" s="10"/>
      <c r="I23" s="30">
        <v>24583.0</v>
      </c>
      <c r="J23" s="30" t="s">
        <v>288</v>
      </c>
      <c r="K23" s="30">
        <v>89.794</v>
      </c>
      <c r="L23" s="51">
        <v>418.14</v>
      </c>
      <c r="M23" s="10"/>
      <c r="N23" s="20" t="s">
        <v>256</v>
      </c>
      <c r="O23" s="117" t="s">
        <v>163</v>
      </c>
      <c r="P23" s="22">
        <v>900.0</v>
      </c>
      <c r="Q23" s="23"/>
      <c r="R23" s="10"/>
      <c r="S23" s="10"/>
      <c r="T23" s="10"/>
    </row>
    <row r="24">
      <c r="A24" s="110"/>
      <c r="B24" s="111"/>
      <c r="C24" s="99"/>
      <c r="D24" s="112"/>
      <c r="E24" s="99"/>
      <c r="F24" s="100"/>
      <c r="G24" s="101"/>
      <c r="H24" s="10"/>
      <c r="I24" s="30">
        <v>2019555.0</v>
      </c>
      <c r="J24" s="30" t="s">
        <v>110</v>
      </c>
      <c r="K24" s="30">
        <v>98.07</v>
      </c>
      <c r="L24" s="51">
        <v>450.04</v>
      </c>
      <c r="M24" s="10"/>
      <c r="N24" s="20" t="s">
        <v>78</v>
      </c>
      <c r="O24" s="31">
        <v>15580.0</v>
      </c>
      <c r="P24" s="22">
        <v>400.0</v>
      </c>
      <c r="Q24" s="23"/>
      <c r="R24" s="10"/>
      <c r="S24" s="10"/>
      <c r="T24" s="10"/>
    </row>
    <row r="25">
      <c r="A25" s="110"/>
      <c r="B25" s="111"/>
      <c r="C25" s="99"/>
      <c r="D25" s="112"/>
      <c r="E25" s="99"/>
      <c r="F25" s="100"/>
      <c r="G25" s="101"/>
      <c r="H25" s="10"/>
      <c r="I25" s="30"/>
      <c r="J25" s="30"/>
      <c r="K25" s="30"/>
      <c r="L25" s="51"/>
      <c r="M25" s="10"/>
      <c r="N25" s="20"/>
      <c r="O25" s="31"/>
      <c r="P25" s="22"/>
      <c r="Q25" s="23"/>
      <c r="R25" s="10"/>
      <c r="S25" s="10"/>
      <c r="T25" s="10"/>
    </row>
    <row r="26">
      <c r="A26" s="110"/>
      <c r="B26" s="111"/>
      <c r="C26" s="99"/>
      <c r="D26" s="112"/>
      <c r="E26" s="99"/>
      <c r="F26" s="100"/>
      <c r="G26" s="101"/>
      <c r="H26" s="10"/>
      <c r="I26" s="30"/>
      <c r="J26" s="30"/>
      <c r="K26" s="30"/>
      <c r="L26" s="51"/>
      <c r="M26" s="10"/>
      <c r="N26" s="20" t="s">
        <v>40</v>
      </c>
      <c r="O26" s="31" t="s">
        <v>290</v>
      </c>
      <c r="P26" s="22"/>
      <c r="Q26" s="23">
        <v>4872.0</v>
      </c>
      <c r="R26" s="10"/>
      <c r="S26" s="10"/>
      <c r="T26" s="10"/>
    </row>
    <row r="27">
      <c r="A27" s="110"/>
      <c r="B27" s="111"/>
      <c r="C27" s="99"/>
      <c r="D27" s="112"/>
      <c r="E27" s="99"/>
      <c r="F27" s="100"/>
      <c r="G27" s="101"/>
      <c r="H27" s="10"/>
      <c r="I27" s="30"/>
      <c r="J27" s="30"/>
      <c r="K27" s="30"/>
      <c r="L27" s="51"/>
      <c r="M27" s="10"/>
      <c r="N27" s="20" t="s">
        <v>291</v>
      </c>
      <c r="O27" s="31" t="s">
        <v>292</v>
      </c>
      <c r="P27" s="22">
        <v>2227.0</v>
      </c>
      <c r="Q27" s="23"/>
      <c r="R27" s="10"/>
      <c r="S27" s="10"/>
      <c r="T27" s="10"/>
    </row>
    <row r="28">
      <c r="A28" s="110"/>
      <c r="B28" s="111"/>
      <c r="C28" s="99"/>
      <c r="D28" s="112"/>
      <c r="E28" s="99"/>
      <c r="F28" s="100"/>
      <c r="G28" s="101"/>
      <c r="H28" s="10"/>
      <c r="I28" s="30"/>
      <c r="J28" s="30"/>
      <c r="K28" s="30"/>
      <c r="L28" s="51"/>
      <c r="M28" s="10"/>
      <c r="N28" s="20" t="s">
        <v>78</v>
      </c>
      <c r="O28" s="31">
        <v>5320433.0</v>
      </c>
      <c r="P28" s="22">
        <v>600.0</v>
      </c>
      <c r="Q28" s="23"/>
      <c r="R28" s="10"/>
      <c r="S28" s="10"/>
      <c r="T28" s="10"/>
    </row>
    <row r="29">
      <c r="A29" s="110"/>
      <c r="B29" s="111"/>
      <c r="C29" s="99"/>
      <c r="D29" s="112"/>
      <c r="E29" s="99"/>
      <c r="F29" s="100"/>
      <c r="G29" s="101"/>
      <c r="H29" s="10"/>
      <c r="I29" s="30"/>
      <c r="J29" s="30"/>
      <c r="K29" s="30"/>
      <c r="L29" s="51"/>
      <c r="M29" s="10"/>
      <c r="N29" s="20" t="s">
        <v>78</v>
      </c>
      <c r="O29" s="31" t="s">
        <v>287</v>
      </c>
      <c r="P29" s="22">
        <v>470.0</v>
      </c>
      <c r="Q29" s="23"/>
      <c r="R29" s="10"/>
      <c r="S29" s="10"/>
      <c r="T29" s="10"/>
    </row>
    <row r="30">
      <c r="A30" s="110"/>
      <c r="B30" s="111"/>
      <c r="C30" s="99"/>
      <c r="D30" s="112"/>
      <c r="E30" s="99"/>
      <c r="F30" s="100"/>
      <c r="G30" s="101"/>
      <c r="H30" s="10"/>
      <c r="I30" s="30"/>
      <c r="J30" s="30"/>
      <c r="K30" s="30"/>
      <c r="L30" s="51"/>
      <c r="M30" s="10"/>
      <c r="N30" s="20" t="s">
        <v>73</v>
      </c>
      <c r="O30" s="31" t="s">
        <v>287</v>
      </c>
      <c r="P30" s="118">
        <v>30.0</v>
      </c>
      <c r="Q30" s="23"/>
      <c r="R30" s="10"/>
      <c r="S30" s="10"/>
      <c r="T30" s="10"/>
    </row>
    <row r="31">
      <c r="A31" s="110"/>
      <c r="B31" s="111"/>
      <c r="C31" s="99"/>
      <c r="D31" s="112"/>
      <c r="E31" s="99"/>
      <c r="F31" s="100"/>
      <c r="G31" s="101"/>
      <c r="H31" s="10"/>
      <c r="I31" s="30"/>
      <c r="J31" s="30"/>
      <c r="K31" s="30"/>
      <c r="L31" s="51"/>
      <c r="M31" s="10"/>
      <c r="N31" s="20" t="s">
        <v>78</v>
      </c>
      <c r="O31" s="31">
        <v>24583.0</v>
      </c>
      <c r="P31" s="22">
        <v>418.14</v>
      </c>
      <c r="Q31" s="23"/>
      <c r="R31" s="10"/>
      <c r="S31" s="10"/>
      <c r="T31" s="10"/>
    </row>
    <row r="32">
      <c r="A32" s="110"/>
      <c r="B32" s="111"/>
      <c r="C32" s="99"/>
      <c r="D32" s="112"/>
      <c r="E32" s="99"/>
      <c r="F32" s="100"/>
      <c r="G32" s="101"/>
      <c r="H32" s="10"/>
      <c r="I32" s="30"/>
      <c r="J32" s="30"/>
      <c r="K32" s="30"/>
      <c r="L32" s="51"/>
      <c r="M32" s="10"/>
      <c r="N32" s="20" t="s">
        <v>73</v>
      </c>
      <c r="O32" s="31">
        <v>24583.0</v>
      </c>
      <c r="P32" s="22">
        <v>37.8</v>
      </c>
      <c r="Q32" s="23"/>
      <c r="R32" s="10"/>
      <c r="S32" s="10"/>
      <c r="T32" s="10"/>
    </row>
    <row r="33">
      <c r="A33" s="10"/>
      <c r="B33" s="10"/>
      <c r="C33" s="10"/>
      <c r="D33" s="67"/>
      <c r="E33" s="10"/>
      <c r="F33" s="10"/>
      <c r="G33" s="10"/>
      <c r="H33" s="10"/>
      <c r="I33" s="30"/>
      <c r="J33" s="30"/>
      <c r="K33" s="30"/>
      <c r="L33" s="51"/>
      <c r="M33" s="10"/>
      <c r="N33" s="20" t="s">
        <v>78</v>
      </c>
      <c r="O33" s="31">
        <v>2019555.0</v>
      </c>
      <c r="P33" s="22">
        <v>450.04</v>
      </c>
      <c r="Q33" s="23"/>
      <c r="R33" s="10"/>
      <c r="S33" s="10"/>
      <c r="T33" s="10"/>
    </row>
    <row r="34">
      <c r="A34" s="10"/>
      <c r="B34" s="11" t="s">
        <v>128</v>
      </c>
      <c r="D34" s="67"/>
      <c r="E34" s="10"/>
      <c r="F34" s="10"/>
      <c r="G34" s="10"/>
      <c r="H34" s="10"/>
      <c r="I34" s="30"/>
      <c r="J34" s="30"/>
      <c r="K34" s="30"/>
      <c r="L34" s="51"/>
      <c r="M34" s="10"/>
      <c r="N34" s="20" t="s">
        <v>73</v>
      </c>
      <c r="O34" s="31">
        <v>2019555.0</v>
      </c>
      <c r="P34" s="22">
        <v>18.0</v>
      </c>
      <c r="Q34" s="23"/>
      <c r="R34" s="10"/>
      <c r="S34" s="10"/>
      <c r="T34" s="10"/>
    </row>
    <row r="35">
      <c r="A35" s="14" t="s">
        <v>131</v>
      </c>
      <c r="B35" s="14" t="s">
        <v>132</v>
      </c>
      <c r="C35" s="72" t="s">
        <v>133</v>
      </c>
      <c r="D35" s="73"/>
      <c r="E35" s="74" t="s">
        <v>134</v>
      </c>
      <c r="F35" s="10"/>
      <c r="G35" s="10"/>
      <c r="H35" s="10"/>
      <c r="I35" s="30"/>
      <c r="J35" s="30"/>
      <c r="K35" s="30"/>
      <c r="L35" s="51"/>
      <c r="M35" s="10"/>
      <c r="N35" s="20" t="s">
        <v>215</v>
      </c>
      <c r="O35" s="31" t="s">
        <v>214</v>
      </c>
      <c r="P35" s="22">
        <v>181.99</v>
      </c>
      <c r="Q35" s="23"/>
      <c r="R35" s="10"/>
      <c r="S35" s="10"/>
      <c r="T35" s="10"/>
    </row>
    <row r="36">
      <c r="A36" s="21" t="s">
        <v>73</v>
      </c>
      <c r="B36" s="21">
        <v>105193.0</v>
      </c>
      <c r="C36" s="79" t="s">
        <v>293</v>
      </c>
      <c r="D36" s="73"/>
      <c r="E36" s="80">
        <v>50.0</v>
      </c>
      <c r="F36" s="10"/>
      <c r="G36" s="10"/>
      <c r="H36" s="10"/>
      <c r="I36" s="30"/>
      <c r="J36" s="30"/>
      <c r="K36" s="30"/>
      <c r="L36" s="51"/>
      <c r="M36" s="10"/>
      <c r="N36" s="20" t="s">
        <v>40</v>
      </c>
      <c r="O36" s="31" t="s">
        <v>294</v>
      </c>
      <c r="P36" s="22"/>
      <c r="Q36" s="23">
        <v>2784.0</v>
      </c>
      <c r="R36" s="10"/>
      <c r="S36" s="10"/>
      <c r="T36" s="10"/>
    </row>
    <row r="37">
      <c r="A37" s="21" t="s">
        <v>73</v>
      </c>
      <c r="B37" s="21">
        <v>6941149.0</v>
      </c>
      <c r="C37" s="79" t="s">
        <v>295</v>
      </c>
      <c r="D37" s="73"/>
      <c r="E37" s="80">
        <v>22.6</v>
      </c>
      <c r="F37" s="10"/>
      <c r="G37" s="10"/>
      <c r="H37" s="10"/>
      <c r="I37" s="30"/>
      <c r="J37" s="30"/>
      <c r="K37" s="30"/>
      <c r="L37" s="51"/>
      <c r="M37" s="10"/>
      <c r="N37" s="20" t="s">
        <v>180</v>
      </c>
      <c r="O37" s="21" t="s">
        <v>296</v>
      </c>
      <c r="P37" s="22">
        <v>2000.0</v>
      </c>
      <c r="Q37" s="23"/>
      <c r="R37" s="10"/>
      <c r="S37" s="10"/>
      <c r="T37" s="10"/>
    </row>
    <row r="38">
      <c r="A38" s="21" t="s">
        <v>73</v>
      </c>
      <c r="B38" s="21">
        <v>25769.0</v>
      </c>
      <c r="C38" s="79" t="s">
        <v>297</v>
      </c>
      <c r="D38" s="73"/>
      <c r="E38" s="80">
        <v>60.0</v>
      </c>
      <c r="F38" s="10"/>
      <c r="G38" s="10"/>
      <c r="H38" s="10"/>
      <c r="I38" s="30"/>
      <c r="J38" s="30"/>
      <c r="K38" s="30"/>
      <c r="L38" s="51"/>
      <c r="M38" s="10"/>
      <c r="N38" s="20" t="s">
        <v>298</v>
      </c>
      <c r="O38" s="31" t="s">
        <v>299</v>
      </c>
      <c r="P38" s="22">
        <v>150.0</v>
      </c>
      <c r="Q38" s="23"/>
      <c r="R38" s="10"/>
      <c r="S38" s="10"/>
      <c r="T38" s="10"/>
    </row>
    <row r="39">
      <c r="A39" s="21" t="s">
        <v>73</v>
      </c>
      <c r="B39" s="21">
        <v>3017961.0</v>
      </c>
      <c r="C39" s="79" t="s">
        <v>300</v>
      </c>
      <c r="D39" s="73"/>
      <c r="E39" s="80">
        <v>42.0</v>
      </c>
      <c r="F39" s="10"/>
      <c r="G39" s="10"/>
      <c r="H39" s="10"/>
      <c r="I39" s="30"/>
      <c r="J39" s="30"/>
      <c r="K39" s="30"/>
      <c r="L39" s="51"/>
      <c r="M39" s="10"/>
      <c r="N39" s="20"/>
      <c r="O39" s="31"/>
      <c r="P39" s="22"/>
      <c r="Q39" s="23"/>
      <c r="R39" s="10"/>
      <c r="S39" s="10"/>
      <c r="T39" s="10"/>
    </row>
    <row r="40">
      <c r="A40" s="21" t="s">
        <v>73</v>
      </c>
      <c r="B40" s="21" t="s">
        <v>287</v>
      </c>
      <c r="C40" s="79" t="s">
        <v>301</v>
      </c>
      <c r="D40" s="73"/>
      <c r="E40" s="80">
        <v>30.0</v>
      </c>
      <c r="F40" s="10"/>
      <c r="G40" s="10"/>
      <c r="H40" s="10"/>
      <c r="I40" s="30"/>
      <c r="J40" s="30"/>
      <c r="K40" s="30"/>
      <c r="L40" s="51"/>
      <c r="M40" s="10"/>
      <c r="N40" s="20"/>
      <c r="O40" s="21"/>
      <c r="P40" s="22"/>
      <c r="Q40" s="23"/>
      <c r="R40" s="10"/>
      <c r="S40" s="10"/>
      <c r="T40" s="10"/>
    </row>
    <row r="41">
      <c r="A41" s="21" t="s">
        <v>73</v>
      </c>
      <c r="B41" s="21">
        <v>24583.0</v>
      </c>
      <c r="C41" s="79" t="s">
        <v>302</v>
      </c>
      <c r="D41" s="73"/>
      <c r="E41" s="80">
        <v>37.8</v>
      </c>
      <c r="F41" s="10"/>
      <c r="G41" s="10"/>
      <c r="H41" s="10"/>
      <c r="I41" s="30"/>
      <c r="J41" s="30"/>
      <c r="K41" s="30"/>
      <c r="L41" s="51"/>
      <c r="M41" s="10"/>
      <c r="N41" s="20"/>
      <c r="O41" s="21"/>
      <c r="P41" s="22"/>
      <c r="Q41" s="23"/>
      <c r="R41" s="10"/>
      <c r="S41" s="10"/>
      <c r="T41" s="10"/>
    </row>
    <row r="42">
      <c r="A42" s="21" t="s">
        <v>73</v>
      </c>
      <c r="B42" s="21">
        <v>2019555.0</v>
      </c>
      <c r="C42" s="79" t="s">
        <v>303</v>
      </c>
      <c r="D42" s="73"/>
      <c r="E42" s="80">
        <v>18.0</v>
      </c>
      <c r="F42" s="10"/>
      <c r="G42" s="10"/>
      <c r="H42" s="10"/>
      <c r="I42" s="30"/>
      <c r="J42" s="30"/>
      <c r="K42" s="30"/>
      <c r="L42" s="51"/>
      <c r="M42" s="10"/>
      <c r="N42" s="20"/>
      <c r="O42" s="21"/>
      <c r="P42" s="22"/>
      <c r="Q42" s="23"/>
      <c r="R42" s="10"/>
      <c r="S42" s="10"/>
      <c r="T42" s="10"/>
    </row>
    <row r="43">
      <c r="A43" s="21"/>
      <c r="B43" s="21"/>
      <c r="C43" s="79"/>
      <c r="D43" s="73"/>
      <c r="E43" s="80"/>
      <c r="F43" s="10"/>
      <c r="G43" s="10"/>
      <c r="H43" s="10"/>
      <c r="I43" s="30"/>
      <c r="J43" s="30"/>
      <c r="K43" s="30"/>
      <c r="L43" s="51"/>
      <c r="M43" s="10"/>
      <c r="N43" s="20"/>
      <c r="O43" s="21"/>
      <c r="P43" s="22"/>
      <c r="Q43" s="23"/>
      <c r="R43" s="10"/>
      <c r="S43" s="10"/>
      <c r="T43" s="10"/>
    </row>
    <row r="44">
      <c r="A44" s="21"/>
      <c r="B44" s="21"/>
      <c r="C44" s="79"/>
      <c r="D44" s="73"/>
      <c r="E44" s="80"/>
      <c r="F44" s="10"/>
      <c r="G44" s="10"/>
      <c r="H44" s="10"/>
      <c r="I44" s="60"/>
      <c r="J44" s="60"/>
      <c r="K44" s="60"/>
      <c r="L44" s="81"/>
      <c r="M44" s="10"/>
      <c r="N44" s="20"/>
      <c r="O44" s="21"/>
      <c r="P44" s="22"/>
      <c r="Q44" s="23"/>
      <c r="R44" s="10"/>
      <c r="S44" s="10"/>
      <c r="T44" s="10"/>
    </row>
    <row r="45">
      <c r="A45" s="21"/>
      <c r="B45" s="21"/>
      <c r="C45" s="79"/>
      <c r="D45" s="73"/>
      <c r="E45" s="80"/>
      <c r="F45" s="10"/>
      <c r="G45" s="10"/>
      <c r="H45" s="10"/>
      <c r="I45" s="60"/>
      <c r="J45" s="60"/>
      <c r="K45" s="60"/>
      <c r="L45" s="81"/>
      <c r="M45" s="10"/>
      <c r="N45" s="20"/>
      <c r="O45" s="21"/>
      <c r="P45" s="22"/>
      <c r="Q45" s="23"/>
      <c r="R45" s="10"/>
      <c r="S45" s="10"/>
      <c r="T45" s="10"/>
    </row>
    <row r="46">
      <c r="A46" s="21"/>
      <c r="B46" s="21"/>
      <c r="C46" s="79"/>
      <c r="D46" s="73"/>
      <c r="E46" s="80"/>
      <c r="F46" s="10"/>
      <c r="G46" s="10"/>
      <c r="H46" s="10"/>
      <c r="I46" s="60"/>
      <c r="J46" s="60"/>
      <c r="K46" s="60"/>
      <c r="L46" s="81"/>
      <c r="M46" s="10"/>
      <c r="N46" s="20"/>
      <c r="O46" s="21"/>
      <c r="P46" s="22"/>
      <c r="Q46" s="23"/>
      <c r="R46" s="10"/>
      <c r="S46" s="10"/>
      <c r="T46" s="10"/>
    </row>
    <row r="47">
      <c r="A47" s="21"/>
      <c r="B47" s="21"/>
      <c r="C47" s="79"/>
      <c r="D47" s="73"/>
      <c r="E47" s="80"/>
      <c r="F47" s="10"/>
      <c r="G47" s="10"/>
      <c r="H47" s="10"/>
      <c r="I47" s="60"/>
      <c r="J47" s="60"/>
      <c r="K47" s="60"/>
      <c r="L47" s="81"/>
      <c r="M47" s="10"/>
      <c r="N47" s="20"/>
      <c r="O47" s="21"/>
      <c r="P47" s="22"/>
      <c r="Q47" s="23"/>
      <c r="R47" s="10"/>
      <c r="S47" s="10"/>
      <c r="T47" s="10"/>
    </row>
    <row r="48">
      <c r="A48" s="21"/>
      <c r="B48" s="21"/>
      <c r="C48" s="79"/>
      <c r="D48" s="73"/>
      <c r="E48" s="80"/>
      <c r="F48" s="10"/>
      <c r="G48" s="10"/>
      <c r="H48" s="10"/>
      <c r="I48" s="60"/>
      <c r="J48" s="60"/>
      <c r="K48" s="85" t="s">
        <v>154</v>
      </c>
      <c r="L48" s="86">
        <f>SUM(L9:L34)</f>
        <v>7501.58</v>
      </c>
      <c r="M48" s="10"/>
      <c r="N48" s="20"/>
      <c r="O48" s="21"/>
      <c r="P48" s="22"/>
      <c r="Q48" s="23"/>
      <c r="R48" s="10"/>
      <c r="S48" s="10"/>
      <c r="T48" s="10"/>
    </row>
    <row r="49">
      <c r="A49" s="21"/>
      <c r="B49" s="21"/>
      <c r="C49" s="79"/>
      <c r="D49" s="73"/>
      <c r="E49" s="80"/>
      <c r="F49" s="10"/>
      <c r="G49" s="10"/>
      <c r="H49" s="10"/>
      <c r="I49" s="10"/>
      <c r="J49" s="10"/>
      <c r="K49" s="10"/>
      <c r="L49" s="36"/>
      <c r="M49" s="10"/>
      <c r="N49" s="20"/>
      <c r="O49" s="21"/>
      <c r="P49" s="22"/>
      <c r="Q49" s="23"/>
      <c r="R49" s="10"/>
      <c r="S49" s="10"/>
      <c r="T49" s="10"/>
    </row>
    <row r="50">
      <c r="A50" s="75"/>
      <c r="B50" s="75"/>
      <c r="C50" s="76"/>
      <c r="D50" s="77"/>
      <c r="E50" s="78"/>
      <c r="F50" s="10"/>
      <c r="G50" s="10"/>
      <c r="H50" s="10"/>
      <c r="I50" s="10"/>
      <c r="J50" s="10"/>
      <c r="K50" s="10"/>
      <c r="L50" s="36"/>
      <c r="M50" s="10"/>
      <c r="N50" s="20"/>
      <c r="O50" s="21"/>
      <c r="P50" s="22"/>
      <c r="Q50" s="23"/>
      <c r="R50" s="10"/>
      <c r="S50" s="10"/>
      <c r="T50" s="10"/>
    </row>
    <row r="51">
      <c r="A51" s="75"/>
      <c r="B51" s="75"/>
      <c r="C51" s="76"/>
      <c r="D51" s="77"/>
      <c r="E51" s="78"/>
      <c r="F51" s="10"/>
      <c r="G51" s="10"/>
      <c r="H51" s="10"/>
      <c r="I51" s="10"/>
      <c r="J51" s="10"/>
      <c r="K51" s="16" t="s">
        <v>156</v>
      </c>
      <c r="L51" s="28" t="str">
        <f>#REF!</f>
        <v>#REF!</v>
      </c>
      <c r="M51" s="10"/>
      <c r="N51" s="20"/>
      <c r="O51" s="21"/>
      <c r="P51" s="22"/>
      <c r="Q51" s="23"/>
      <c r="R51" s="10"/>
      <c r="S51" s="10"/>
      <c r="T51" s="10"/>
    </row>
    <row r="52">
      <c r="A52" s="75"/>
      <c r="B52" s="75"/>
      <c r="C52" s="76"/>
      <c r="D52" s="77"/>
      <c r="E52" s="78"/>
      <c r="F52" s="10"/>
      <c r="G52" s="10"/>
      <c r="H52" s="10"/>
      <c r="I52" s="10"/>
      <c r="J52" s="10"/>
      <c r="K52" s="16" t="s">
        <v>157</v>
      </c>
      <c r="L52" s="28">
        <f>L48</f>
        <v>7501.58</v>
      </c>
      <c r="M52" s="10"/>
      <c r="N52" s="20"/>
      <c r="O52" s="21"/>
      <c r="P52" s="22"/>
      <c r="Q52" s="23"/>
      <c r="R52" s="10"/>
      <c r="S52" s="10"/>
      <c r="T52" s="10"/>
    </row>
    <row r="53">
      <c r="A53" s="75"/>
      <c r="B53" s="75"/>
      <c r="C53" s="76"/>
      <c r="D53" s="77"/>
      <c r="E53" s="78"/>
      <c r="F53" s="10"/>
      <c r="G53" s="10"/>
      <c r="H53" s="10"/>
      <c r="I53" s="10"/>
      <c r="J53" s="10"/>
      <c r="K53" s="16" t="s">
        <v>128</v>
      </c>
      <c r="L53" s="28">
        <f>E56</f>
        <v>260.4</v>
      </c>
      <c r="M53" s="10"/>
      <c r="N53" s="20"/>
      <c r="O53" s="21"/>
      <c r="P53" s="22"/>
      <c r="Q53" s="23"/>
      <c r="R53" s="10"/>
      <c r="S53" s="10"/>
      <c r="T53" s="10"/>
    </row>
    <row r="54">
      <c r="A54" s="75"/>
      <c r="B54" s="75"/>
      <c r="C54" s="76"/>
      <c r="D54" s="77"/>
      <c r="E54" s="78"/>
      <c r="F54" s="10"/>
      <c r="G54" s="10"/>
      <c r="H54" s="10"/>
      <c r="I54" s="10"/>
      <c r="J54" s="10"/>
      <c r="K54" s="16" t="s">
        <v>20</v>
      </c>
      <c r="L54" s="28" t="str">
        <f>L51-L52-L53</f>
        <v>#REF!</v>
      </c>
      <c r="M54" s="10"/>
      <c r="N54" s="20"/>
      <c r="O54" s="21"/>
      <c r="P54" s="22"/>
      <c r="Q54" s="23"/>
      <c r="R54" s="10"/>
      <c r="S54" s="10"/>
      <c r="T54" s="10"/>
    </row>
    <row r="55">
      <c r="A55" s="75"/>
      <c r="B55" s="75"/>
      <c r="C55" s="76"/>
      <c r="D55" s="77"/>
      <c r="E55" s="78"/>
      <c r="F55" s="10"/>
      <c r="G55" s="10"/>
      <c r="H55" s="10"/>
      <c r="I55" s="10"/>
      <c r="J55" s="10"/>
      <c r="K55" s="10"/>
      <c r="L55" s="36"/>
      <c r="M55" s="10"/>
      <c r="N55" s="20"/>
      <c r="O55" s="21"/>
      <c r="P55" s="22"/>
      <c r="Q55" s="23"/>
      <c r="R55" s="10"/>
      <c r="S55" s="10"/>
      <c r="T55" s="10"/>
    </row>
    <row r="56">
      <c r="A56" s="59"/>
      <c r="B56" s="59"/>
      <c r="C56" s="87" t="s">
        <v>20</v>
      </c>
      <c r="D56" s="73"/>
      <c r="E56" s="88">
        <f>SUM(E36:E55)</f>
        <v>260.4</v>
      </c>
      <c r="F56" s="10"/>
      <c r="G56" s="10"/>
      <c r="H56" s="10"/>
      <c r="I56" s="10"/>
      <c r="J56" s="10"/>
      <c r="K56" s="10"/>
      <c r="L56" s="36"/>
      <c r="M56" s="10"/>
      <c r="N56" s="20"/>
      <c r="O56" s="21"/>
      <c r="P56" s="22"/>
      <c r="Q56" s="23"/>
      <c r="R56" s="10"/>
      <c r="S56" s="10"/>
      <c r="T56" s="10"/>
    </row>
    <row r="57">
      <c r="A57" s="34"/>
      <c r="B57" s="10"/>
      <c r="C57" s="10"/>
      <c r="D57" s="67"/>
      <c r="E57" s="10"/>
      <c r="F57" s="10"/>
      <c r="G57" s="10"/>
      <c r="H57" s="10"/>
      <c r="I57" s="10"/>
      <c r="J57" s="10"/>
      <c r="K57" s="36"/>
      <c r="L57" s="10"/>
      <c r="M57" s="10"/>
      <c r="N57" s="20"/>
      <c r="O57" s="21"/>
      <c r="P57" s="22"/>
      <c r="Q57" s="23"/>
      <c r="R57" s="10"/>
      <c r="S57" s="10"/>
      <c r="T57" s="10"/>
    </row>
    <row r="58">
      <c r="A58" s="34"/>
      <c r="B58" s="10"/>
      <c r="C58" s="10"/>
      <c r="D58" s="67"/>
      <c r="E58" s="10"/>
      <c r="F58" s="10"/>
      <c r="G58" s="10"/>
      <c r="H58" s="10"/>
      <c r="I58" s="10"/>
      <c r="J58" s="10"/>
      <c r="K58" s="10"/>
      <c r="L58" s="36"/>
      <c r="M58" s="10"/>
      <c r="N58" s="20"/>
      <c r="O58" s="21"/>
      <c r="P58" s="22"/>
      <c r="Q58" s="23"/>
      <c r="R58" s="10"/>
      <c r="S58" s="10"/>
      <c r="T58" s="10"/>
    </row>
    <row r="59">
      <c r="A59" s="34"/>
      <c r="B59" s="10"/>
      <c r="C59" s="10"/>
      <c r="D59" s="67"/>
      <c r="E59" s="10"/>
      <c r="F59" s="10"/>
      <c r="G59" s="10"/>
      <c r="H59" s="10"/>
      <c r="I59" s="10"/>
      <c r="J59" s="10"/>
      <c r="K59" s="10"/>
      <c r="L59" s="36"/>
      <c r="M59" s="10"/>
      <c r="N59" s="20"/>
      <c r="O59" s="21"/>
      <c r="P59" s="22"/>
      <c r="Q59" s="23"/>
      <c r="R59" s="10"/>
      <c r="S59" s="10"/>
      <c r="T59" s="10"/>
    </row>
    <row r="60">
      <c r="A60" s="94" t="s">
        <v>161</v>
      </c>
      <c r="D60" s="95"/>
      <c r="K60" s="1"/>
      <c r="L60" s="56"/>
      <c r="M60" s="10"/>
      <c r="N60" s="20"/>
      <c r="O60" s="21"/>
      <c r="P60" s="22"/>
      <c r="Q60" s="23"/>
      <c r="R60" s="10"/>
      <c r="S60" s="10"/>
    </row>
    <row r="61">
      <c r="A61" s="94" t="s">
        <v>162</v>
      </c>
      <c r="B61" s="1">
        <v>1800.0</v>
      </c>
      <c r="D61" s="95"/>
      <c r="K61" s="1"/>
      <c r="L61" s="56"/>
      <c r="M61" s="10"/>
      <c r="N61" s="20"/>
      <c r="O61" s="21"/>
      <c r="P61" s="22"/>
      <c r="Q61" s="23"/>
      <c r="R61" s="10"/>
      <c r="S61" s="10"/>
    </row>
    <row r="62">
      <c r="A62" s="94" t="s">
        <v>164</v>
      </c>
      <c r="B62" s="1">
        <v>200.0</v>
      </c>
      <c r="D62" s="95"/>
      <c r="K62" s="1"/>
      <c r="L62" s="56"/>
      <c r="M62" s="10"/>
      <c r="N62" s="20"/>
      <c r="O62" s="21"/>
      <c r="P62" s="22"/>
      <c r="Q62" s="23"/>
      <c r="R62" s="10"/>
      <c r="S62" s="10"/>
    </row>
    <row r="63">
      <c r="A63" s="94" t="s">
        <v>166</v>
      </c>
      <c r="B63" s="1">
        <v>900.0</v>
      </c>
      <c r="D63" s="95"/>
      <c r="L63" s="50"/>
      <c r="M63" s="10"/>
      <c r="N63" s="20"/>
      <c r="O63" s="21"/>
      <c r="P63" s="22"/>
      <c r="Q63" s="23"/>
      <c r="R63" s="10"/>
      <c r="S63" s="10"/>
    </row>
    <row r="64">
      <c r="A64" s="94" t="s">
        <v>116</v>
      </c>
      <c r="B64" s="1">
        <v>500.0</v>
      </c>
      <c r="D64" s="95"/>
      <c r="L64" s="50"/>
      <c r="M64" s="10"/>
      <c r="N64" s="20"/>
      <c r="O64" s="21"/>
      <c r="P64" s="22"/>
      <c r="Q64" s="23"/>
      <c r="R64" s="10"/>
      <c r="S64" s="10"/>
    </row>
    <row r="65">
      <c r="A65" s="94" t="s">
        <v>169</v>
      </c>
      <c r="B65" s="1">
        <v>75.0</v>
      </c>
      <c r="D65" s="95"/>
      <c r="L65" s="50"/>
      <c r="M65" s="10"/>
      <c r="N65" s="20"/>
      <c r="O65" s="21"/>
      <c r="P65" s="22"/>
      <c r="Q65" s="23"/>
      <c r="R65" s="10"/>
      <c r="S65" s="10"/>
    </row>
    <row r="66">
      <c r="A66" s="94" t="s">
        <v>171</v>
      </c>
      <c r="B66" s="1">
        <v>30.0</v>
      </c>
      <c r="D66" s="95"/>
      <c r="L66" s="50"/>
      <c r="M66" s="10"/>
      <c r="N66" s="20"/>
      <c r="O66" s="21"/>
      <c r="P66" s="22"/>
      <c r="Q66" s="23"/>
      <c r="R66" s="10"/>
      <c r="S66" s="10"/>
    </row>
    <row r="67">
      <c r="A67" s="94" t="s">
        <v>172</v>
      </c>
      <c r="B67" s="1">
        <v>100.0</v>
      </c>
      <c r="D67" s="95"/>
      <c r="L67" s="50"/>
      <c r="M67" s="10"/>
      <c r="N67" s="20"/>
      <c r="O67" s="21"/>
      <c r="P67" s="22"/>
      <c r="Q67" s="23"/>
      <c r="R67" s="10"/>
      <c r="S67" s="10"/>
    </row>
    <row r="68">
      <c r="A68" s="98"/>
      <c r="B68" s="5">
        <f>SUM(B61:B67)</f>
        <v>3605</v>
      </c>
      <c r="D68" s="95"/>
      <c r="L68" s="50"/>
      <c r="M68" s="10"/>
      <c r="N68" s="20"/>
      <c r="O68" s="21"/>
      <c r="P68" s="22"/>
      <c r="Q68" s="23"/>
      <c r="R68" s="10"/>
      <c r="S68" s="10"/>
    </row>
    <row r="69">
      <c r="A69" s="98"/>
      <c r="D69" s="95"/>
      <c r="L69" s="50"/>
      <c r="M69" s="10"/>
      <c r="N69" s="30"/>
      <c r="O69" s="31"/>
      <c r="P69" s="52"/>
      <c r="Q69" s="23"/>
      <c r="R69" s="10"/>
      <c r="S69" s="10"/>
    </row>
    <row r="70">
      <c r="A70" s="98"/>
      <c r="D70" s="95"/>
      <c r="L70" s="50"/>
      <c r="M70" s="10"/>
      <c r="N70" s="30"/>
      <c r="O70" s="31"/>
      <c r="P70" s="52"/>
      <c r="Q70" s="23"/>
      <c r="R70" s="10"/>
      <c r="S70" s="10"/>
    </row>
    <row r="71">
      <c r="A71" s="98"/>
      <c r="D71" s="95"/>
      <c r="L71" s="50"/>
      <c r="M71" s="10"/>
      <c r="N71" s="30"/>
      <c r="O71" s="31"/>
      <c r="P71" s="52"/>
      <c r="Q71" s="23"/>
      <c r="R71" s="10"/>
      <c r="S71" s="10"/>
    </row>
    <row r="72">
      <c r="A72" s="98"/>
      <c r="D72" s="95"/>
      <c r="L72" s="50"/>
      <c r="M72" s="10"/>
      <c r="N72" s="30"/>
      <c r="O72" s="31"/>
      <c r="P72" s="52"/>
      <c r="Q72" s="23"/>
      <c r="R72" s="10"/>
      <c r="S72" s="10"/>
    </row>
    <row r="73">
      <c r="A73" s="98"/>
      <c r="D73" s="95"/>
      <c r="L73" s="50"/>
      <c r="M73" s="10"/>
      <c r="N73" s="30"/>
      <c r="O73" s="31"/>
      <c r="P73" s="52"/>
      <c r="Q73" s="23"/>
      <c r="R73" s="10"/>
      <c r="S73" s="10"/>
    </row>
    <row r="74">
      <c r="A74" s="98"/>
      <c r="D74" s="95"/>
      <c r="L74" s="50"/>
      <c r="M74" s="10"/>
      <c r="N74" s="30"/>
      <c r="O74" s="31"/>
      <c r="P74" s="52"/>
      <c r="Q74" s="23"/>
      <c r="R74" s="10"/>
      <c r="S74" s="10"/>
    </row>
    <row r="75">
      <c r="A75" s="98"/>
      <c r="D75" s="95"/>
      <c r="L75" s="50"/>
      <c r="M75" s="10"/>
      <c r="N75" s="30"/>
      <c r="O75" s="31"/>
      <c r="P75" s="52"/>
      <c r="Q75" s="23"/>
      <c r="R75" s="10"/>
      <c r="S75" s="10"/>
    </row>
    <row r="76">
      <c r="A76" s="98"/>
      <c r="D76" s="95"/>
      <c r="L76" s="50"/>
      <c r="M76" s="10"/>
      <c r="N76" s="30"/>
      <c r="O76" s="31"/>
      <c r="P76" s="52"/>
      <c r="Q76" s="23"/>
      <c r="R76" s="10"/>
      <c r="S76" s="10"/>
    </row>
    <row r="77">
      <c r="A77" s="98"/>
      <c r="D77" s="95"/>
      <c r="L77" s="50"/>
      <c r="M77" s="10"/>
      <c r="N77" s="30"/>
      <c r="O77" s="31"/>
      <c r="P77" s="52"/>
      <c r="Q77" s="23"/>
      <c r="R77" s="10"/>
      <c r="S77" s="10"/>
    </row>
    <row r="78">
      <c r="A78" s="98"/>
      <c r="D78" s="95"/>
      <c r="L78" s="50"/>
      <c r="M78" s="10"/>
      <c r="N78" s="30"/>
      <c r="O78" s="31"/>
      <c r="P78" s="52"/>
      <c r="Q78" s="23"/>
      <c r="R78" s="10"/>
      <c r="S78" s="10"/>
    </row>
    <row r="79">
      <c r="A79" s="98"/>
      <c r="D79" s="95"/>
      <c r="L79" s="50"/>
      <c r="M79" s="10"/>
      <c r="N79" s="30"/>
      <c r="O79" s="31"/>
      <c r="P79" s="52"/>
      <c r="Q79" s="23"/>
      <c r="R79" s="10"/>
      <c r="S79" s="10"/>
    </row>
    <row r="80">
      <c r="A80" s="98"/>
      <c r="D80" s="95"/>
      <c r="L80" s="50"/>
      <c r="M80" s="10"/>
      <c r="N80" s="30"/>
      <c r="O80" s="31"/>
      <c r="P80" s="52"/>
      <c r="Q80" s="23"/>
      <c r="R80" s="10"/>
      <c r="S80" s="10"/>
    </row>
    <row r="81">
      <c r="A81" s="98"/>
      <c r="D81" s="95"/>
      <c r="L81" s="50"/>
      <c r="M81" s="10"/>
      <c r="N81" s="30"/>
      <c r="O81" s="31"/>
      <c r="P81" s="52"/>
      <c r="Q81" s="23"/>
      <c r="R81" s="10"/>
      <c r="S81" s="10"/>
    </row>
    <row r="82">
      <c r="A82" s="98"/>
      <c r="D82" s="95"/>
      <c r="L82" s="50"/>
      <c r="M82" s="10"/>
      <c r="N82" s="30"/>
      <c r="O82" s="31"/>
      <c r="P82" s="52"/>
      <c r="Q82" s="23"/>
      <c r="R82" s="10"/>
      <c r="S82" s="10"/>
    </row>
    <row r="83">
      <c r="A83" s="98"/>
      <c r="D83" s="95"/>
      <c r="L83" s="50"/>
      <c r="M83" s="10"/>
      <c r="N83" s="30"/>
      <c r="O83" s="31"/>
      <c r="P83" s="52"/>
      <c r="Q83" s="23"/>
      <c r="R83" s="10"/>
      <c r="S83" s="10"/>
    </row>
    <row r="84">
      <c r="A84" s="98"/>
      <c r="D84" s="95"/>
      <c r="L84" s="50"/>
      <c r="M84" s="10"/>
      <c r="N84" s="20"/>
      <c r="O84" s="21"/>
      <c r="P84" s="22"/>
      <c r="Q84" s="23"/>
      <c r="R84" s="10"/>
      <c r="S84" s="10"/>
    </row>
    <row r="85">
      <c r="A85" s="98"/>
      <c r="D85" s="95"/>
      <c r="L85" s="50"/>
      <c r="M85" s="10"/>
      <c r="N85" s="20"/>
      <c r="O85" s="21"/>
      <c r="P85" s="22"/>
      <c r="Q85" s="23"/>
      <c r="R85" s="10"/>
      <c r="S85" s="10"/>
    </row>
    <row r="86">
      <c r="A86" s="98"/>
      <c r="D86" s="95"/>
      <c r="L86" s="50"/>
      <c r="M86" s="10"/>
      <c r="N86" s="60"/>
      <c r="O86" s="59"/>
      <c r="P86" s="60"/>
      <c r="Q86" s="105"/>
      <c r="R86" s="10"/>
      <c r="S86" s="10"/>
    </row>
    <row r="87">
      <c r="A87" s="98"/>
      <c r="D87" s="95"/>
      <c r="L87" s="50"/>
      <c r="M87" s="10"/>
      <c r="N87" s="60"/>
      <c r="O87" s="59"/>
      <c r="P87" s="60"/>
      <c r="Q87" s="105"/>
      <c r="R87" s="10"/>
      <c r="S87" s="10"/>
    </row>
    <row r="88">
      <c r="A88" s="98"/>
      <c r="D88" s="95"/>
      <c r="L88" s="50"/>
      <c r="M88" s="10"/>
      <c r="N88" s="60"/>
      <c r="O88" s="59"/>
      <c r="P88" s="60"/>
      <c r="Q88" s="105"/>
      <c r="R88" s="10"/>
      <c r="S88" s="10"/>
    </row>
    <row r="89">
      <c r="A89" s="98"/>
      <c r="D89" s="95"/>
      <c r="L89" s="50"/>
      <c r="M89" s="10"/>
      <c r="N89" s="60"/>
      <c r="O89" s="59"/>
      <c r="P89" s="60"/>
      <c r="Q89" s="105"/>
      <c r="R89" s="10"/>
      <c r="S89" s="10"/>
    </row>
    <row r="90">
      <c r="A90" s="98"/>
      <c r="D90" s="95"/>
      <c r="L90" s="50"/>
      <c r="M90" s="10"/>
      <c r="N90" s="60"/>
      <c r="O90" s="59"/>
      <c r="P90" s="60"/>
      <c r="Q90" s="105"/>
      <c r="R90" s="10"/>
      <c r="S90" s="10"/>
    </row>
    <row r="91">
      <c r="A91" s="98"/>
      <c r="D91" s="95"/>
      <c r="L91" s="50"/>
      <c r="M91" s="10"/>
      <c r="N91" s="60"/>
      <c r="O91" s="59"/>
      <c r="P91" s="60"/>
      <c r="Q91" s="105"/>
      <c r="R91" s="10"/>
      <c r="S91" s="10"/>
    </row>
    <row r="92">
      <c r="A92" s="98"/>
      <c r="D92" s="95"/>
      <c r="L92" s="50"/>
      <c r="M92" s="10"/>
      <c r="N92" s="60"/>
      <c r="O92" s="59"/>
      <c r="P92" s="60"/>
      <c r="Q92" s="105"/>
      <c r="R92" s="10"/>
      <c r="S92" s="10"/>
    </row>
    <row r="93">
      <c r="A93" s="98"/>
      <c r="D93" s="95"/>
      <c r="L93" s="50"/>
      <c r="M93" s="10"/>
      <c r="N93" s="60"/>
      <c r="O93" s="59"/>
      <c r="P93" s="60"/>
      <c r="Q93" s="105"/>
      <c r="R93" s="10"/>
      <c r="S93" s="10"/>
    </row>
    <row r="94">
      <c r="A94" s="98"/>
      <c r="D94" s="95"/>
      <c r="L94" s="50"/>
      <c r="M94" s="10"/>
      <c r="N94" s="60"/>
      <c r="O94" s="59"/>
      <c r="P94" s="60"/>
      <c r="Q94" s="105"/>
      <c r="R94" s="10"/>
      <c r="S94" s="10"/>
    </row>
    <row r="95">
      <c r="A95" s="98"/>
      <c r="D95" s="95"/>
      <c r="L95" s="50"/>
      <c r="M95" s="10"/>
      <c r="N95" s="60"/>
      <c r="O95" s="59"/>
      <c r="P95" s="60"/>
      <c r="Q95" s="105"/>
      <c r="R95" s="10"/>
      <c r="S95" s="10"/>
    </row>
    <row r="96">
      <c r="A96" s="98"/>
      <c r="D96" s="95"/>
      <c r="L96" s="50"/>
      <c r="M96" s="10"/>
      <c r="N96" s="60"/>
      <c r="O96" s="59"/>
      <c r="P96" s="60"/>
      <c r="Q96" s="105"/>
      <c r="R96" s="10"/>
      <c r="S96" s="10"/>
    </row>
    <row r="97">
      <c r="A97" s="98"/>
      <c r="D97" s="95"/>
      <c r="L97" s="50"/>
      <c r="M97" s="10"/>
      <c r="N97" s="60"/>
      <c r="O97" s="59"/>
      <c r="P97" s="60"/>
      <c r="Q97" s="105"/>
      <c r="R97" s="10"/>
      <c r="S97" s="10"/>
    </row>
    <row r="98">
      <c r="A98" s="98"/>
      <c r="D98" s="95"/>
      <c r="L98" s="50"/>
      <c r="M98" s="10"/>
      <c r="N98" s="60"/>
      <c r="O98" s="59"/>
      <c r="P98" s="60"/>
      <c r="Q98" s="105"/>
      <c r="R98" s="10"/>
      <c r="S98" s="10"/>
    </row>
    <row r="99">
      <c r="A99" s="98"/>
      <c r="D99" s="95"/>
      <c r="L99" s="50"/>
      <c r="M99" s="10"/>
      <c r="N99" s="60"/>
      <c r="O99" s="59"/>
      <c r="P99" s="60"/>
      <c r="Q99" s="105"/>
      <c r="R99" s="10"/>
      <c r="S99" s="10"/>
    </row>
    <row r="100">
      <c r="A100" s="98"/>
      <c r="D100" s="95"/>
      <c r="L100" s="50"/>
      <c r="M100" s="10"/>
      <c r="N100" s="60"/>
      <c r="O100" s="59"/>
      <c r="P100" s="60"/>
      <c r="Q100" s="105"/>
      <c r="R100" s="10"/>
      <c r="S100" s="10"/>
    </row>
    <row r="101">
      <c r="A101" s="98"/>
      <c r="D101" s="95"/>
      <c r="L101" s="50"/>
      <c r="M101" s="10"/>
      <c r="N101" s="60"/>
      <c r="O101" s="59"/>
      <c r="P101" s="60"/>
      <c r="Q101" s="105"/>
      <c r="R101" s="10"/>
      <c r="S101" s="10"/>
    </row>
    <row r="102">
      <c r="A102" s="98"/>
      <c r="D102" s="95"/>
      <c r="L102" s="50"/>
      <c r="M102" s="10"/>
      <c r="N102" s="60"/>
      <c r="O102" s="59"/>
      <c r="P102" s="60"/>
      <c r="Q102" s="105"/>
      <c r="R102" s="10"/>
      <c r="S102" s="10"/>
    </row>
    <row r="103">
      <c r="A103" s="98"/>
      <c r="D103" s="95"/>
      <c r="L103" s="50"/>
      <c r="M103" s="10"/>
      <c r="N103" s="60"/>
      <c r="O103" s="59"/>
      <c r="P103" s="60"/>
      <c r="Q103" s="105"/>
      <c r="R103" s="10"/>
      <c r="S103" s="10"/>
    </row>
    <row r="104">
      <c r="A104" s="98"/>
      <c r="D104" s="95"/>
      <c r="L104" s="50"/>
      <c r="M104" s="10"/>
      <c r="N104" s="60"/>
      <c r="O104" s="59"/>
      <c r="P104" s="60"/>
      <c r="Q104" s="105"/>
      <c r="R104" s="10"/>
      <c r="S104" s="10"/>
    </row>
    <row r="105">
      <c r="A105" s="98"/>
      <c r="D105" s="95"/>
      <c r="L105" s="50"/>
      <c r="M105" s="10"/>
      <c r="N105" s="60"/>
      <c r="O105" s="59"/>
      <c r="P105" s="60"/>
      <c r="Q105" s="105"/>
      <c r="R105" s="10"/>
      <c r="S105" s="10"/>
    </row>
    <row r="106">
      <c r="A106" s="98"/>
      <c r="D106" s="95"/>
      <c r="L106" s="50"/>
      <c r="M106" s="10"/>
      <c r="N106" s="60"/>
      <c r="O106" s="59"/>
      <c r="P106" s="60"/>
      <c r="Q106" s="105"/>
      <c r="R106" s="10"/>
      <c r="S106" s="10"/>
    </row>
    <row r="107">
      <c r="A107" s="98"/>
      <c r="D107" s="95"/>
      <c r="L107" s="50"/>
      <c r="M107" s="10"/>
      <c r="N107" s="60"/>
      <c r="O107" s="59"/>
      <c r="P107" s="60"/>
      <c r="Q107" s="105"/>
      <c r="R107" s="10"/>
      <c r="S107" s="10"/>
    </row>
    <row r="108">
      <c r="A108" s="98"/>
      <c r="D108" s="95"/>
      <c r="L108" s="50"/>
      <c r="M108" s="10"/>
      <c r="N108" s="60"/>
      <c r="O108" s="59"/>
      <c r="P108" s="60"/>
      <c r="Q108" s="105"/>
      <c r="R108" s="10"/>
      <c r="S108" s="10"/>
    </row>
    <row r="109">
      <c r="A109" s="98"/>
      <c r="D109" s="95"/>
      <c r="L109" s="50"/>
      <c r="M109" s="10"/>
      <c r="N109" s="60"/>
      <c r="O109" s="59"/>
      <c r="P109" s="60"/>
      <c r="Q109" s="105"/>
      <c r="R109" s="10"/>
      <c r="S109" s="10"/>
    </row>
    <row r="110">
      <c r="A110" s="98"/>
      <c r="D110" s="95"/>
      <c r="L110" s="50"/>
      <c r="M110" s="10"/>
      <c r="N110" s="60"/>
      <c r="O110" s="59"/>
      <c r="P110" s="60"/>
      <c r="Q110" s="105"/>
      <c r="R110" s="10"/>
      <c r="S110" s="10"/>
    </row>
    <row r="111">
      <c r="A111" s="98"/>
      <c r="D111" s="95"/>
      <c r="L111" s="50"/>
      <c r="M111" s="10"/>
      <c r="N111" s="60"/>
      <c r="O111" s="59"/>
      <c r="P111" s="60"/>
      <c r="Q111" s="105"/>
      <c r="R111" s="10"/>
      <c r="S111" s="10"/>
    </row>
    <row r="112">
      <c r="A112" s="98"/>
      <c r="D112" s="95"/>
      <c r="L112" s="50"/>
      <c r="M112" s="10"/>
      <c r="N112" s="60"/>
      <c r="O112" s="59"/>
      <c r="P112" s="60"/>
      <c r="Q112" s="105"/>
      <c r="R112" s="10"/>
      <c r="S112" s="10"/>
    </row>
    <row r="113">
      <c r="A113" s="98"/>
      <c r="D113" s="95"/>
      <c r="L113" s="50"/>
      <c r="M113" s="10"/>
      <c r="N113" s="60"/>
      <c r="O113" s="59"/>
      <c r="P113" s="60"/>
      <c r="Q113" s="105"/>
      <c r="R113" s="10"/>
      <c r="S113" s="10"/>
    </row>
    <row r="114">
      <c r="A114" s="98"/>
      <c r="D114" s="95"/>
      <c r="L114" s="50"/>
      <c r="M114" s="10"/>
      <c r="N114" s="60"/>
      <c r="O114" s="59"/>
      <c r="P114" s="60"/>
      <c r="Q114" s="105"/>
      <c r="R114" s="10"/>
      <c r="S114" s="10"/>
    </row>
    <row r="115">
      <c r="A115" s="98"/>
      <c r="D115" s="95"/>
      <c r="L115" s="50"/>
      <c r="M115" s="10"/>
      <c r="N115" s="60"/>
      <c r="O115" s="59"/>
      <c r="P115" s="60"/>
      <c r="Q115" s="105"/>
      <c r="R115" s="10"/>
      <c r="S115" s="10"/>
    </row>
    <row r="116">
      <c r="A116" s="98"/>
      <c r="D116" s="95"/>
      <c r="L116" s="50"/>
      <c r="M116" s="10"/>
      <c r="N116" s="60"/>
      <c r="O116" s="59"/>
      <c r="P116" s="60"/>
      <c r="Q116" s="105"/>
      <c r="R116" s="10"/>
      <c r="S116" s="10"/>
    </row>
    <row r="117">
      <c r="A117" s="98"/>
      <c r="D117" s="95"/>
      <c r="L117" s="50"/>
      <c r="M117" s="10"/>
      <c r="N117" s="60"/>
      <c r="O117" s="59"/>
      <c r="P117" s="60"/>
      <c r="Q117" s="105"/>
      <c r="R117" s="10"/>
      <c r="S117" s="10"/>
    </row>
    <row r="118">
      <c r="A118" s="98"/>
      <c r="D118" s="95"/>
      <c r="L118" s="50"/>
      <c r="M118" s="10"/>
      <c r="N118" s="60"/>
      <c r="O118" s="59"/>
      <c r="P118" s="60"/>
      <c r="Q118" s="105"/>
      <c r="R118" s="10"/>
      <c r="S118" s="10"/>
    </row>
    <row r="119">
      <c r="A119" s="98"/>
      <c r="D119" s="95"/>
      <c r="L119" s="50"/>
      <c r="M119" s="10"/>
      <c r="N119" s="60"/>
      <c r="O119" s="59"/>
      <c r="P119" s="60"/>
      <c r="Q119" s="105"/>
      <c r="R119" s="10"/>
      <c r="S119" s="10"/>
    </row>
    <row r="120">
      <c r="A120" s="98"/>
      <c r="D120" s="95"/>
      <c r="L120" s="50"/>
      <c r="M120" s="10"/>
      <c r="N120" s="60"/>
      <c r="O120" s="59"/>
      <c r="P120" s="60"/>
      <c r="Q120" s="105"/>
      <c r="R120" s="10"/>
      <c r="S120" s="10"/>
    </row>
    <row r="121">
      <c r="A121" s="98"/>
      <c r="D121" s="95"/>
      <c r="L121" s="50"/>
      <c r="M121" s="10"/>
      <c r="N121" s="60"/>
      <c r="O121" s="59"/>
      <c r="P121" s="60"/>
      <c r="Q121" s="105"/>
      <c r="R121" s="10"/>
      <c r="S121" s="10"/>
    </row>
    <row r="122">
      <c r="A122" s="98"/>
      <c r="D122" s="95"/>
      <c r="L122" s="50"/>
      <c r="M122" s="10"/>
      <c r="N122" s="60"/>
      <c r="O122" s="59"/>
      <c r="P122" s="60"/>
      <c r="Q122" s="105"/>
      <c r="R122" s="10"/>
      <c r="S122" s="10"/>
    </row>
    <row r="123">
      <c r="A123" s="98"/>
      <c r="D123" s="95"/>
      <c r="L123" s="50"/>
      <c r="M123" s="10"/>
      <c r="N123" s="60"/>
      <c r="O123" s="59"/>
      <c r="P123" s="60"/>
      <c r="Q123" s="105"/>
      <c r="R123" s="10"/>
      <c r="S123" s="10"/>
    </row>
    <row r="124">
      <c r="A124" s="98"/>
      <c r="D124" s="95"/>
      <c r="L124" s="50"/>
      <c r="M124" s="10"/>
      <c r="N124" s="60"/>
      <c r="O124" s="59"/>
      <c r="P124" s="60"/>
      <c r="Q124" s="105"/>
      <c r="R124" s="10"/>
      <c r="S124" s="10"/>
    </row>
    <row r="125">
      <c r="A125" s="98"/>
      <c r="D125" s="95"/>
      <c r="L125" s="50"/>
      <c r="M125" s="10"/>
      <c r="N125" s="60"/>
      <c r="O125" s="59"/>
      <c r="P125" s="60"/>
      <c r="Q125" s="105"/>
      <c r="R125" s="10"/>
      <c r="S125" s="10"/>
    </row>
    <row r="126">
      <c r="A126" s="98"/>
      <c r="D126" s="95"/>
      <c r="L126" s="50"/>
      <c r="M126" s="10"/>
      <c r="N126" s="60"/>
      <c r="O126" s="59"/>
      <c r="P126" s="60"/>
      <c r="Q126" s="105"/>
      <c r="R126" s="10"/>
      <c r="S126" s="10"/>
    </row>
    <row r="127">
      <c r="A127" s="98"/>
      <c r="D127" s="95"/>
      <c r="L127" s="50"/>
      <c r="M127" s="10"/>
      <c r="N127" s="60"/>
      <c r="O127" s="59"/>
      <c r="P127" s="60"/>
      <c r="Q127" s="105"/>
      <c r="R127" s="10"/>
      <c r="S127" s="10"/>
    </row>
    <row r="128">
      <c r="A128" s="98"/>
      <c r="D128" s="95"/>
      <c r="L128" s="50"/>
      <c r="M128" s="10"/>
      <c r="N128" s="60"/>
      <c r="O128" s="59"/>
      <c r="P128" s="60"/>
      <c r="Q128" s="105"/>
      <c r="R128" s="10"/>
      <c r="S128" s="10"/>
    </row>
    <row r="129">
      <c r="A129" s="98"/>
      <c r="D129" s="95"/>
      <c r="L129" s="50"/>
      <c r="M129" s="10"/>
      <c r="N129" s="10"/>
      <c r="O129" s="10"/>
      <c r="P129" s="10"/>
      <c r="Q129" s="10"/>
      <c r="R129" s="10"/>
      <c r="S129" s="10"/>
    </row>
    <row r="130">
      <c r="A130" s="98"/>
      <c r="D130" s="95"/>
      <c r="L130" s="50"/>
      <c r="O130" s="98"/>
      <c r="Q130" s="95"/>
    </row>
    <row r="131">
      <c r="A131" s="98"/>
      <c r="D131" s="95"/>
      <c r="L131" s="50"/>
      <c r="O131" s="98"/>
      <c r="Q131" s="95"/>
    </row>
    <row r="132">
      <c r="A132" s="98"/>
      <c r="D132" s="95"/>
      <c r="L132" s="50"/>
      <c r="O132" s="98"/>
      <c r="Q132" s="95"/>
    </row>
    <row r="133">
      <c r="A133" s="98"/>
      <c r="D133" s="95"/>
      <c r="L133" s="50"/>
      <c r="O133" s="98"/>
      <c r="Q133" s="95"/>
    </row>
    <row r="134">
      <c r="A134" s="98"/>
      <c r="D134" s="95"/>
      <c r="L134" s="50"/>
      <c r="O134" s="98"/>
      <c r="Q134" s="95"/>
    </row>
    <row r="135">
      <c r="A135" s="98"/>
      <c r="D135" s="95"/>
      <c r="L135" s="50"/>
      <c r="O135" s="98"/>
      <c r="Q135" s="95"/>
    </row>
    <row r="136">
      <c r="A136" s="98"/>
      <c r="D136" s="95"/>
      <c r="L136" s="50"/>
      <c r="O136" s="98"/>
      <c r="Q136" s="95"/>
    </row>
    <row r="137">
      <c r="A137" s="98"/>
      <c r="D137" s="95"/>
      <c r="L137" s="50"/>
      <c r="O137" s="98"/>
      <c r="Q137" s="95"/>
    </row>
    <row r="138">
      <c r="A138" s="98"/>
      <c r="D138" s="95"/>
      <c r="L138" s="50"/>
      <c r="O138" s="98"/>
      <c r="Q138" s="95"/>
    </row>
    <row r="139">
      <c r="A139" s="98"/>
      <c r="D139" s="95"/>
      <c r="L139" s="50"/>
      <c r="O139" s="98"/>
      <c r="Q139" s="95"/>
    </row>
    <row r="140">
      <c r="A140" s="98"/>
      <c r="D140" s="95"/>
      <c r="L140" s="50"/>
      <c r="O140" s="98"/>
      <c r="Q140" s="95"/>
    </row>
    <row r="141">
      <c r="A141" s="98"/>
      <c r="D141" s="95"/>
      <c r="L141" s="50"/>
      <c r="O141" s="98"/>
      <c r="Q141" s="95"/>
    </row>
    <row r="142">
      <c r="A142" s="98"/>
      <c r="D142" s="95"/>
      <c r="L142" s="50"/>
      <c r="O142" s="98"/>
      <c r="Q142" s="95"/>
    </row>
    <row r="143">
      <c r="A143" s="98"/>
      <c r="D143" s="95"/>
      <c r="L143" s="50"/>
      <c r="O143" s="98"/>
      <c r="Q143" s="95"/>
    </row>
    <row r="144">
      <c r="A144" s="98"/>
      <c r="D144" s="95"/>
      <c r="L144" s="50"/>
      <c r="O144" s="98"/>
      <c r="Q144" s="95"/>
    </row>
    <row r="145">
      <c r="A145" s="98"/>
      <c r="D145" s="95"/>
      <c r="L145" s="50"/>
      <c r="O145" s="98"/>
      <c r="Q145" s="95"/>
    </row>
    <row r="146">
      <c r="A146" s="98"/>
      <c r="D146" s="95"/>
      <c r="L146" s="50"/>
      <c r="O146" s="98"/>
      <c r="Q146" s="95"/>
    </row>
    <row r="147">
      <c r="A147" s="98"/>
      <c r="D147" s="95"/>
      <c r="L147" s="50"/>
      <c r="O147" s="98"/>
      <c r="Q147" s="95"/>
    </row>
    <row r="148">
      <c r="A148" s="98"/>
      <c r="D148" s="95"/>
      <c r="L148" s="50"/>
      <c r="O148" s="98"/>
      <c r="Q148" s="95"/>
    </row>
    <row r="149">
      <c r="A149" s="98"/>
      <c r="D149" s="95"/>
      <c r="L149" s="50"/>
      <c r="O149" s="98"/>
      <c r="Q149" s="95"/>
    </row>
    <row r="150">
      <c r="A150" s="98"/>
      <c r="D150" s="95"/>
      <c r="L150" s="50"/>
      <c r="O150" s="98"/>
      <c r="Q150" s="95"/>
    </row>
    <row r="151">
      <c r="A151" s="98"/>
      <c r="D151" s="95"/>
      <c r="L151" s="50"/>
      <c r="O151" s="98"/>
      <c r="Q151" s="95"/>
    </row>
    <row r="152">
      <c r="A152" s="98"/>
      <c r="D152" s="95"/>
      <c r="L152" s="50"/>
      <c r="O152" s="98"/>
      <c r="Q152" s="95"/>
    </row>
    <row r="153">
      <c r="A153" s="98"/>
      <c r="D153" s="95"/>
      <c r="L153" s="50"/>
      <c r="O153" s="98"/>
      <c r="Q153" s="95"/>
    </row>
    <row r="154">
      <c r="A154" s="98"/>
      <c r="D154" s="95"/>
      <c r="L154" s="50"/>
      <c r="O154" s="98"/>
      <c r="Q154" s="95"/>
    </row>
    <row r="155">
      <c r="A155" s="98"/>
      <c r="D155" s="95"/>
      <c r="L155" s="50"/>
      <c r="O155" s="98"/>
      <c r="Q155" s="95"/>
    </row>
    <row r="156">
      <c r="A156" s="98"/>
      <c r="D156" s="95"/>
      <c r="L156" s="50"/>
      <c r="O156" s="98"/>
      <c r="Q156" s="95"/>
    </row>
    <row r="157">
      <c r="A157" s="98"/>
      <c r="D157" s="95"/>
      <c r="L157" s="50"/>
      <c r="O157" s="98"/>
      <c r="Q157" s="95"/>
    </row>
    <row r="158">
      <c r="A158" s="98"/>
      <c r="D158" s="95"/>
      <c r="L158" s="50"/>
      <c r="O158" s="98"/>
      <c r="Q158" s="95"/>
    </row>
    <row r="159">
      <c r="A159" s="98"/>
      <c r="D159" s="95"/>
      <c r="L159" s="50"/>
      <c r="O159" s="98"/>
      <c r="Q159" s="95"/>
    </row>
    <row r="160">
      <c r="A160" s="98"/>
      <c r="D160" s="95"/>
      <c r="L160" s="50"/>
      <c r="O160" s="98"/>
      <c r="Q160" s="95"/>
    </row>
    <row r="161">
      <c r="A161" s="98"/>
      <c r="D161" s="95"/>
      <c r="L161" s="50"/>
      <c r="O161" s="98"/>
      <c r="Q161" s="95"/>
    </row>
    <row r="162">
      <c r="A162" s="98"/>
      <c r="D162" s="95"/>
      <c r="L162" s="50"/>
      <c r="O162" s="98"/>
      <c r="Q162" s="95"/>
    </row>
    <row r="163">
      <c r="A163" s="98"/>
      <c r="D163" s="95"/>
      <c r="L163" s="50"/>
      <c r="O163" s="98"/>
      <c r="Q163" s="95"/>
    </row>
    <row r="164">
      <c r="A164" s="98"/>
      <c r="D164" s="95"/>
      <c r="L164" s="50"/>
      <c r="O164" s="98"/>
      <c r="Q164" s="95"/>
    </row>
    <row r="165">
      <c r="A165" s="98"/>
      <c r="D165" s="95"/>
      <c r="L165" s="50"/>
      <c r="O165" s="98"/>
      <c r="Q165" s="95"/>
    </row>
    <row r="166">
      <c r="A166" s="98"/>
      <c r="D166" s="95"/>
      <c r="L166" s="50"/>
      <c r="O166" s="98"/>
      <c r="Q166" s="95"/>
    </row>
    <row r="167">
      <c r="A167" s="98"/>
      <c r="D167" s="95"/>
      <c r="L167" s="50"/>
      <c r="O167" s="98"/>
      <c r="Q167" s="95"/>
    </row>
    <row r="168">
      <c r="A168" s="98"/>
      <c r="D168" s="95"/>
      <c r="L168" s="50"/>
      <c r="O168" s="98"/>
      <c r="Q168" s="95"/>
    </row>
    <row r="169">
      <c r="A169" s="98"/>
      <c r="D169" s="95"/>
      <c r="L169" s="50"/>
      <c r="O169" s="98"/>
      <c r="Q169" s="95"/>
    </row>
    <row r="170">
      <c r="A170" s="98"/>
      <c r="D170" s="95"/>
      <c r="L170" s="50"/>
      <c r="O170" s="98"/>
      <c r="Q170" s="95"/>
    </row>
    <row r="171">
      <c r="A171" s="98"/>
      <c r="D171" s="95"/>
      <c r="L171" s="50"/>
      <c r="O171" s="98"/>
      <c r="Q171" s="95"/>
    </row>
    <row r="172">
      <c r="A172" s="98"/>
      <c r="D172" s="95"/>
      <c r="L172" s="50"/>
      <c r="O172" s="98"/>
      <c r="Q172" s="95"/>
    </row>
    <row r="173">
      <c r="A173" s="98"/>
      <c r="D173" s="95"/>
      <c r="L173" s="50"/>
      <c r="O173" s="98"/>
      <c r="Q173" s="95"/>
    </row>
    <row r="174">
      <c r="A174" s="98"/>
      <c r="D174" s="95"/>
      <c r="L174" s="50"/>
      <c r="O174" s="98"/>
      <c r="Q174" s="95"/>
    </row>
    <row r="175">
      <c r="A175" s="98"/>
      <c r="D175" s="95"/>
      <c r="L175" s="50"/>
      <c r="O175" s="98"/>
      <c r="Q175" s="95"/>
    </row>
    <row r="176">
      <c r="A176" s="98"/>
      <c r="D176" s="95"/>
      <c r="L176" s="50"/>
      <c r="O176" s="98"/>
      <c r="Q176" s="95"/>
    </row>
    <row r="177">
      <c r="A177" s="98"/>
      <c r="D177" s="95"/>
      <c r="L177" s="50"/>
      <c r="O177" s="98"/>
      <c r="Q177" s="95"/>
    </row>
    <row r="178">
      <c r="A178" s="98"/>
      <c r="D178" s="95"/>
      <c r="L178" s="50"/>
      <c r="O178" s="98"/>
      <c r="Q178" s="95"/>
    </row>
    <row r="179">
      <c r="A179" s="98"/>
      <c r="D179" s="95"/>
      <c r="L179" s="50"/>
      <c r="O179" s="98"/>
      <c r="Q179" s="95"/>
    </row>
    <row r="180">
      <c r="A180" s="98"/>
      <c r="D180" s="95"/>
      <c r="L180" s="50"/>
      <c r="O180" s="98"/>
      <c r="Q180" s="95"/>
    </row>
    <row r="181">
      <c r="A181" s="98"/>
      <c r="D181" s="95"/>
      <c r="L181" s="50"/>
      <c r="O181" s="98"/>
      <c r="Q181" s="95"/>
    </row>
    <row r="182">
      <c r="A182" s="98"/>
      <c r="D182" s="95"/>
      <c r="L182" s="50"/>
      <c r="O182" s="98"/>
      <c r="Q182" s="95"/>
    </row>
    <row r="183">
      <c r="A183" s="98"/>
      <c r="D183" s="95"/>
      <c r="L183" s="50"/>
      <c r="O183" s="98"/>
      <c r="Q183" s="95"/>
    </row>
    <row r="184">
      <c r="A184" s="98"/>
      <c r="D184" s="95"/>
      <c r="L184" s="50"/>
      <c r="O184" s="98"/>
      <c r="Q184" s="95"/>
    </row>
    <row r="185">
      <c r="A185" s="98"/>
      <c r="D185" s="95"/>
      <c r="L185" s="50"/>
      <c r="O185" s="98"/>
      <c r="Q185" s="95"/>
    </row>
    <row r="186">
      <c r="A186" s="98"/>
      <c r="D186" s="95"/>
      <c r="L186" s="50"/>
      <c r="O186" s="98"/>
      <c r="Q186" s="95"/>
    </row>
    <row r="187">
      <c r="A187" s="98"/>
      <c r="D187" s="95"/>
      <c r="L187" s="50"/>
      <c r="O187" s="98"/>
      <c r="Q187" s="95"/>
    </row>
    <row r="188">
      <c r="A188" s="98"/>
      <c r="D188" s="95"/>
      <c r="L188" s="50"/>
      <c r="O188" s="98"/>
      <c r="Q188" s="95"/>
    </row>
    <row r="189">
      <c r="A189" s="98"/>
      <c r="D189" s="95"/>
      <c r="L189" s="50"/>
      <c r="O189" s="98"/>
      <c r="Q189" s="95"/>
    </row>
    <row r="190">
      <c r="A190" s="98"/>
      <c r="D190" s="95"/>
      <c r="L190" s="50"/>
      <c r="O190" s="98"/>
      <c r="Q190" s="95"/>
    </row>
    <row r="191">
      <c r="A191" s="98"/>
      <c r="D191" s="95"/>
      <c r="L191" s="50"/>
      <c r="O191" s="98"/>
      <c r="Q191" s="95"/>
    </row>
    <row r="192">
      <c r="A192" s="98"/>
      <c r="D192" s="95"/>
      <c r="L192" s="50"/>
      <c r="O192" s="98"/>
      <c r="Q192" s="95"/>
    </row>
    <row r="193">
      <c r="A193" s="98"/>
      <c r="D193" s="95"/>
      <c r="L193" s="50"/>
      <c r="O193" s="98"/>
      <c r="Q193" s="95"/>
    </row>
    <row r="194">
      <c r="A194" s="98"/>
      <c r="D194" s="95"/>
      <c r="L194" s="50"/>
      <c r="O194" s="98"/>
      <c r="Q194" s="95"/>
    </row>
    <row r="195">
      <c r="A195" s="98"/>
      <c r="D195" s="95"/>
      <c r="L195" s="50"/>
      <c r="O195" s="98"/>
      <c r="Q195" s="95"/>
    </row>
    <row r="196">
      <c r="A196" s="98"/>
      <c r="D196" s="95"/>
      <c r="L196" s="50"/>
      <c r="O196" s="98"/>
      <c r="Q196" s="95"/>
    </row>
    <row r="197">
      <c r="A197" s="98"/>
      <c r="D197" s="95"/>
      <c r="L197" s="50"/>
      <c r="O197" s="98"/>
      <c r="Q197" s="95"/>
    </row>
    <row r="198">
      <c r="A198" s="98"/>
      <c r="D198" s="95"/>
      <c r="L198" s="50"/>
      <c r="O198" s="98"/>
      <c r="Q198" s="95"/>
    </row>
    <row r="199">
      <c r="A199" s="98"/>
      <c r="D199" s="95"/>
      <c r="L199" s="50"/>
      <c r="O199" s="98"/>
      <c r="Q199" s="95"/>
    </row>
    <row r="200">
      <c r="A200" s="98"/>
      <c r="D200" s="95"/>
      <c r="L200" s="50"/>
      <c r="O200" s="98"/>
      <c r="Q200" s="95"/>
    </row>
    <row r="201">
      <c r="A201" s="98"/>
      <c r="D201" s="95"/>
      <c r="L201" s="50"/>
      <c r="O201" s="98"/>
      <c r="Q201" s="95"/>
    </row>
    <row r="202">
      <c r="A202" s="98"/>
      <c r="D202" s="95"/>
      <c r="L202" s="50"/>
      <c r="O202" s="98"/>
      <c r="Q202" s="95"/>
    </row>
    <row r="203">
      <c r="A203" s="98"/>
      <c r="D203" s="95"/>
      <c r="L203" s="50"/>
      <c r="O203" s="98"/>
      <c r="Q203" s="95"/>
    </row>
    <row r="204">
      <c r="A204" s="98"/>
      <c r="D204" s="95"/>
      <c r="L204" s="50"/>
      <c r="O204" s="98"/>
      <c r="Q204" s="95"/>
    </row>
    <row r="205">
      <c r="A205" s="98"/>
      <c r="D205" s="95"/>
      <c r="L205" s="50"/>
      <c r="O205" s="98"/>
      <c r="Q205" s="95"/>
    </row>
    <row r="206">
      <c r="A206" s="98"/>
      <c r="D206" s="95"/>
      <c r="L206" s="50"/>
      <c r="O206" s="98"/>
      <c r="Q206" s="95"/>
    </row>
    <row r="207">
      <c r="A207" s="98"/>
      <c r="D207" s="95"/>
      <c r="L207" s="50"/>
      <c r="O207" s="98"/>
      <c r="Q207" s="95"/>
    </row>
    <row r="208">
      <c r="A208" s="98"/>
      <c r="D208" s="95"/>
      <c r="L208" s="50"/>
      <c r="O208" s="98"/>
      <c r="Q208" s="95"/>
    </row>
    <row r="209">
      <c r="A209" s="98"/>
      <c r="D209" s="95"/>
      <c r="L209" s="50"/>
      <c r="O209" s="98"/>
      <c r="Q209" s="95"/>
    </row>
    <row r="210">
      <c r="A210" s="98"/>
      <c r="D210" s="95"/>
      <c r="L210" s="50"/>
      <c r="O210" s="98"/>
      <c r="Q210" s="95"/>
    </row>
    <row r="211">
      <c r="A211" s="98"/>
      <c r="D211" s="95"/>
      <c r="L211" s="50"/>
      <c r="O211" s="98"/>
      <c r="Q211" s="95"/>
    </row>
    <row r="212">
      <c r="A212" s="98"/>
      <c r="D212" s="95"/>
      <c r="L212" s="50"/>
      <c r="O212" s="98"/>
      <c r="Q212" s="95"/>
    </row>
    <row r="213">
      <c r="A213" s="98"/>
      <c r="D213" s="95"/>
      <c r="L213" s="50"/>
      <c r="O213" s="98"/>
      <c r="Q213" s="95"/>
    </row>
    <row r="214">
      <c r="A214" s="98"/>
      <c r="D214" s="95"/>
      <c r="L214" s="50"/>
      <c r="O214" s="98"/>
      <c r="Q214" s="95"/>
    </row>
    <row r="215">
      <c r="A215" s="98"/>
      <c r="D215" s="95"/>
      <c r="L215" s="50"/>
      <c r="O215" s="98"/>
      <c r="Q215" s="95"/>
    </row>
    <row r="216">
      <c r="A216" s="98"/>
      <c r="D216" s="95"/>
      <c r="L216" s="50"/>
      <c r="O216" s="98"/>
      <c r="Q216" s="95"/>
    </row>
    <row r="217">
      <c r="A217" s="98"/>
      <c r="D217" s="95"/>
      <c r="L217" s="50"/>
      <c r="O217" s="98"/>
      <c r="Q217" s="95"/>
    </row>
    <row r="218">
      <c r="A218" s="98"/>
      <c r="D218" s="95"/>
      <c r="L218" s="50"/>
      <c r="O218" s="98"/>
      <c r="Q218" s="95"/>
    </row>
    <row r="219">
      <c r="A219" s="98"/>
      <c r="D219" s="95"/>
      <c r="L219" s="50"/>
      <c r="O219" s="98"/>
      <c r="Q219" s="95"/>
    </row>
    <row r="220">
      <c r="A220" s="98"/>
      <c r="D220" s="95"/>
      <c r="L220" s="50"/>
      <c r="O220" s="98"/>
      <c r="Q220" s="95"/>
    </row>
    <row r="221">
      <c r="A221" s="98"/>
      <c r="D221" s="95"/>
      <c r="L221" s="50"/>
      <c r="O221" s="98"/>
      <c r="Q221" s="95"/>
    </row>
    <row r="222">
      <c r="A222" s="98"/>
      <c r="D222" s="95"/>
      <c r="L222" s="50"/>
      <c r="O222" s="98"/>
      <c r="Q222" s="95"/>
    </row>
    <row r="223">
      <c r="A223" s="98"/>
      <c r="D223" s="95"/>
      <c r="L223" s="50"/>
      <c r="O223" s="98"/>
      <c r="Q223" s="95"/>
    </row>
    <row r="224">
      <c r="A224" s="98"/>
      <c r="D224" s="95"/>
      <c r="L224" s="50"/>
      <c r="O224" s="98"/>
      <c r="Q224" s="95"/>
    </row>
    <row r="225">
      <c r="A225" s="98"/>
      <c r="D225" s="95"/>
      <c r="L225" s="50"/>
      <c r="O225" s="98"/>
      <c r="Q225" s="95"/>
    </row>
    <row r="226">
      <c r="A226" s="98"/>
      <c r="D226" s="95"/>
      <c r="L226" s="50"/>
      <c r="O226" s="98"/>
      <c r="Q226" s="95"/>
    </row>
    <row r="227">
      <c r="A227" s="98"/>
      <c r="D227" s="95"/>
      <c r="L227" s="50"/>
      <c r="O227" s="98"/>
      <c r="Q227" s="95"/>
    </row>
    <row r="228">
      <c r="A228" s="98"/>
      <c r="D228" s="95"/>
      <c r="L228" s="50"/>
      <c r="O228" s="98"/>
      <c r="Q228" s="95"/>
    </row>
    <row r="229">
      <c r="A229" s="98"/>
      <c r="D229" s="95"/>
      <c r="L229" s="50"/>
      <c r="O229" s="98"/>
      <c r="Q229" s="95"/>
    </row>
    <row r="230">
      <c r="A230" s="98"/>
      <c r="D230" s="95"/>
      <c r="L230" s="50"/>
      <c r="O230" s="98"/>
      <c r="Q230" s="95"/>
    </row>
    <row r="231">
      <c r="A231" s="98"/>
      <c r="D231" s="95"/>
      <c r="L231" s="50"/>
      <c r="O231" s="98"/>
      <c r="Q231" s="95"/>
    </row>
    <row r="232">
      <c r="A232" s="98"/>
      <c r="D232" s="95"/>
      <c r="L232" s="50"/>
      <c r="O232" s="98"/>
      <c r="Q232" s="95"/>
    </row>
    <row r="233">
      <c r="A233" s="98"/>
      <c r="D233" s="95"/>
      <c r="L233" s="50"/>
      <c r="O233" s="98"/>
      <c r="Q233" s="95"/>
    </row>
    <row r="234">
      <c r="A234" s="98"/>
      <c r="D234" s="95"/>
      <c r="L234" s="50"/>
      <c r="O234" s="98"/>
      <c r="Q234" s="95"/>
    </row>
    <row r="235">
      <c r="A235" s="98"/>
      <c r="D235" s="95"/>
      <c r="L235" s="50"/>
      <c r="O235" s="98"/>
      <c r="Q235" s="95"/>
    </row>
    <row r="236">
      <c r="A236" s="98"/>
      <c r="D236" s="95"/>
      <c r="L236" s="50"/>
      <c r="O236" s="98"/>
      <c r="Q236" s="95"/>
    </row>
    <row r="237">
      <c r="A237" s="98"/>
      <c r="D237" s="95"/>
      <c r="L237" s="50"/>
      <c r="O237" s="98"/>
      <c r="Q237" s="95"/>
    </row>
    <row r="238">
      <c r="A238" s="98"/>
      <c r="D238" s="95"/>
      <c r="L238" s="50"/>
      <c r="O238" s="98"/>
      <c r="Q238" s="95"/>
    </row>
    <row r="239">
      <c r="A239" s="98"/>
      <c r="D239" s="95"/>
      <c r="L239" s="50"/>
      <c r="O239" s="98"/>
      <c r="Q239" s="95"/>
    </row>
    <row r="240">
      <c r="A240" s="98"/>
      <c r="D240" s="95"/>
      <c r="L240" s="50"/>
      <c r="O240" s="98"/>
      <c r="Q240" s="95"/>
    </row>
    <row r="241">
      <c r="A241" s="98"/>
      <c r="D241" s="95"/>
      <c r="L241" s="50"/>
      <c r="O241" s="98"/>
      <c r="Q241" s="95"/>
    </row>
    <row r="242">
      <c r="A242" s="98"/>
      <c r="D242" s="95"/>
      <c r="L242" s="50"/>
      <c r="O242" s="98"/>
      <c r="Q242" s="95"/>
    </row>
    <row r="243">
      <c r="A243" s="98"/>
      <c r="D243" s="95"/>
      <c r="L243" s="50"/>
      <c r="O243" s="98"/>
      <c r="Q243" s="95"/>
    </row>
    <row r="244">
      <c r="A244" s="98"/>
      <c r="D244" s="95"/>
      <c r="L244" s="50"/>
      <c r="O244" s="98"/>
      <c r="Q244" s="95"/>
    </row>
    <row r="245">
      <c r="A245" s="98"/>
      <c r="D245" s="95"/>
      <c r="L245" s="50"/>
      <c r="O245" s="98"/>
      <c r="Q245" s="95"/>
    </row>
    <row r="246">
      <c r="A246" s="98"/>
      <c r="D246" s="95"/>
      <c r="L246" s="50"/>
      <c r="O246" s="98"/>
      <c r="Q246" s="95"/>
    </row>
    <row r="247">
      <c r="A247" s="98"/>
      <c r="D247" s="95"/>
      <c r="L247" s="50"/>
      <c r="O247" s="98"/>
      <c r="Q247" s="95"/>
    </row>
    <row r="248">
      <c r="A248" s="98"/>
      <c r="D248" s="95"/>
      <c r="L248" s="50"/>
      <c r="O248" s="98"/>
      <c r="Q248" s="95"/>
    </row>
    <row r="249">
      <c r="A249" s="98"/>
      <c r="D249" s="95"/>
      <c r="L249" s="50"/>
      <c r="O249" s="98"/>
      <c r="Q249" s="95"/>
    </row>
    <row r="250">
      <c r="A250" s="98"/>
      <c r="D250" s="95"/>
      <c r="L250" s="50"/>
      <c r="O250" s="98"/>
      <c r="Q250" s="95"/>
    </row>
    <row r="251">
      <c r="A251" s="98"/>
      <c r="D251" s="95"/>
      <c r="L251" s="50"/>
      <c r="O251" s="98"/>
      <c r="Q251" s="95"/>
    </row>
    <row r="252">
      <c r="A252" s="98"/>
      <c r="D252" s="95"/>
      <c r="L252" s="50"/>
      <c r="O252" s="98"/>
      <c r="Q252" s="95"/>
    </row>
    <row r="253">
      <c r="A253" s="98"/>
      <c r="D253" s="95"/>
      <c r="L253" s="50"/>
      <c r="O253" s="98"/>
      <c r="Q253" s="95"/>
    </row>
    <row r="254">
      <c r="A254" s="98"/>
      <c r="D254" s="95"/>
      <c r="L254" s="50"/>
      <c r="O254" s="98"/>
      <c r="Q254" s="95"/>
    </row>
    <row r="255">
      <c r="A255" s="98"/>
      <c r="D255" s="95"/>
      <c r="L255" s="50"/>
      <c r="O255" s="98"/>
      <c r="Q255" s="95"/>
    </row>
    <row r="256">
      <c r="A256" s="98"/>
      <c r="D256" s="95"/>
      <c r="L256" s="50"/>
      <c r="O256" s="98"/>
      <c r="Q256" s="95"/>
    </row>
    <row r="257">
      <c r="A257" s="98"/>
      <c r="D257" s="95"/>
      <c r="L257" s="50"/>
      <c r="O257" s="98"/>
      <c r="Q257" s="95"/>
    </row>
    <row r="258">
      <c r="A258" s="98"/>
      <c r="D258" s="95"/>
      <c r="L258" s="50"/>
      <c r="O258" s="98"/>
      <c r="Q258" s="95"/>
    </row>
    <row r="259">
      <c r="A259" s="98"/>
      <c r="D259" s="95"/>
      <c r="L259" s="50"/>
      <c r="O259" s="98"/>
      <c r="Q259" s="95"/>
    </row>
    <row r="260">
      <c r="A260" s="98"/>
      <c r="D260" s="95"/>
      <c r="L260" s="50"/>
      <c r="O260" s="98"/>
      <c r="Q260" s="95"/>
    </row>
    <row r="261">
      <c r="A261" s="98"/>
      <c r="D261" s="95"/>
      <c r="L261" s="50"/>
      <c r="O261" s="98"/>
      <c r="Q261" s="95"/>
    </row>
    <row r="262">
      <c r="A262" s="98"/>
      <c r="D262" s="95"/>
      <c r="L262" s="50"/>
      <c r="O262" s="98"/>
      <c r="Q262" s="95"/>
    </row>
    <row r="263">
      <c r="A263" s="98"/>
      <c r="D263" s="95"/>
      <c r="L263" s="50"/>
      <c r="O263" s="98"/>
      <c r="Q263" s="95"/>
    </row>
    <row r="264">
      <c r="A264" s="98"/>
      <c r="D264" s="95"/>
      <c r="L264" s="50"/>
      <c r="O264" s="98"/>
      <c r="Q264" s="95"/>
    </row>
    <row r="265">
      <c r="A265" s="98"/>
      <c r="D265" s="95"/>
      <c r="L265" s="50"/>
      <c r="O265" s="98"/>
      <c r="Q265" s="95"/>
    </row>
    <row r="266">
      <c r="A266" s="98"/>
      <c r="D266" s="95"/>
      <c r="L266" s="50"/>
      <c r="O266" s="98"/>
      <c r="Q266" s="95"/>
    </row>
    <row r="267">
      <c r="A267" s="98"/>
      <c r="D267" s="95"/>
      <c r="L267" s="50"/>
      <c r="O267" s="98"/>
      <c r="Q267" s="95"/>
    </row>
    <row r="268">
      <c r="A268" s="98"/>
      <c r="D268" s="95"/>
      <c r="L268" s="50"/>
      <c r="O268" s="98"/>
      <c r="Q268" s="95"/>
    </row>
    <row r="269">
      <c r="A269" s="98"/>
      <c r="D269" s="95"/>
      <c r="L269" s="50"/>
      <c r="O269" s="98"/>
      <c r="Q269" s="95"/>
    </row>
    <row r="270">
      <c r="A270" s="98"/>
      <c r="D270" s="95"/>
      <c r="L270" s="50"/>
      <c r="O270" s="98"/>
      <c r="Q270" s="95"/>
    </row>
    <row r="271">
      <c r="A271" s="98"/>
      <c r="D271" s="95"/>
      <c r="L271" s="50"/>
      <c r="O271" s="98"/>
      <c r="Q271" s="95"/>
    </row>
    <row r="272">
      <c r="A272" s="98"/>
      <c r="D272" s="95"/>
      <c r="L272" s="50"/>
      <c r="O272" s="98"/>
      <c r="Q272" s="95"/>
    </row>
    <row r="273">
      <c r="A273" s="98"/>
      <c r="D273" s="95"/>
      <c r="L273" s="50"/>
      <c r="O273" s="98"/>
      <c r="Q273" s="95"/>
    </row>
    <row r="274">
      <c r="A274" s="98"/>
      <c r="D274" s="95"/>
      <c r="L274" s="50"/>
      <c r="O274" s="98"/>
      <c r="Q274" s="95"/>
    </row>
    <row r="275">
      <c r="A275" s="98"/>
      <c r="D275" s="95"/>
      <c r="L275" s="50"/>
      <c r="O275" s="98"/>
      <c r="Q275" s="95"/>
    </row>
    <row r="276">
      <c r="A276" s="98"/>
      <c r="D276" s="95"/>
      <c r="L276" s="50"/>
      <c r="O276" s="98"/>
      <c r="Q276" s="95"/>
    </row>
    <row r="277">
      <c r="A277" s="98"/>
      <c r="D277" s="95"/>
      <c r="L277" s="50"/>
      <c r="O277" s="98"/>
      <c r="Q277" s="95"/>
    </row>
    <row r="278">
      <c r="A278" s="98"/>
      <c r="D278" s="95"/>
      <c r="L278" s="50"/>
      <c r="O278" s="98"/>
      <c r="Q278" s="95"/>
    </row>
    <row r="279">
      <c r="A279" s="98"/>
      <c r="D279" s="95"/>
      <c r="L279" s="50"/>
      <c r="O279" s="98"/>
      <c r="Q279" s="95"/>
    </row>
    <row r="280">
      <c r="A280" s="98"/>
      <c r="D280" s="95"/>
      <c r="L280" s="50"/>
      <c r="O280" s="98"/>
      <c r="Q280" s="95"/>
    </row>
    <row r="281">
      <c r="A281" s="98"/>
      <c r="D281" s="95"/>
      <c r="L281" s="50"/>
      <c r="O281" s="98"/>
      <c r="Q281" s="95"/>
    </row>
    <row r="282">
      <c r="A282" s="98"/>
      <c r="D282" s="95"/>
      <c r="L282" s="50"/>
      <c r="O282" s="98"/>
      <c r="Q282" s="95"/>
    </row>
    <row r="283">
      <c r="A283" s="98"/>
      <c r="D283" s="95"/>
      <c r="L283" s="50"/>
      <c r="O283" s="98"/>
      <c r="Q283" s="95"/>
    </row>
    <row r="284">
      <c r="A284" s="98"/>
      <c r="D284" s="95"/>
      <c r="L284" s="50"/>
      <c r="O284" s="98"/>
      <c r="Q284" s="95"/>
    </row>
    <row r="285">
      <c r="A285" s="98"/>
      <c r="D285" s="95"/>
      <c r="L285" s="50"/>
      <c r="O285" s="98"/>
      <c r="Q285" s="95"/>
    </row>
    <row r="286">
      <c r="A286" s="98"/>
      <c r="D286" s="95"/>
      <c r="L286" s="50"/>
      <c r="O286" s="98"/>
      <c r="Q286" s="95"/>
    </row>
    <row r="287">
      <c r="A287" s="98"/>
      <c r="D287" s="95"/>
      <c r="L287" s="50"/>
      <c r="O287" s="98"/>
      <c r="Q287" s="95"/>
    </row>
    <row r="288">
      <c r="A288" s="98"/>
      <c r="D288" s="95"/>
      <c r="L288" s="50"/>
      <c r="O288" s="98"/>
      <c r="Q288" s="95"/>
    </row>
    <row r="289">
      <c r="A289" s="98"/>
      <c r="D289" s="95"/>
      <c r="L289" s="50"/>
      <c r="O289" s="98"/>
      <c r="Q289" s="95"/>
    </row>
    <row r="290">
      <c r="A290" s="98"/>
      <c r="D290" s="95"/>
      <c r="L290" s="50"/>
      <c r="O290" s="98"/>
      <c r="Q290" s="95"/>
    </row>
    <row r="291">
      <c r="A291" s="98"/>
      <c r="D291" s="95"/>
      <c r="L291" s="50"/>
      <c r="O291" s="98"/>
      <c r="Q291" s="95"/>
    </row>
    <row r="292">
      <c r="A292" s="98"/>
      <c r="D292" s="95"/>
      <c r="L292" s="50"/>
      <c r="O292" s="98"/>
      <c r="Q292" s="95"/>
    </row>
    <row r="293">
      <c r="A293" s="98"/>
      <c r="D293" s="95"/>
      <c r="L293" s="50"/>
      <c r="O293" s="98"/>
      <c r="Q293" s="95"/>
    </row>
    <row r="294">
      <c r="A294" s="98"/>
      <c r="D294" s="95"/>
      <c r="L294" s="50"/>
      <c r="O294" s="98"/>
      <c r="Q294" s="95"/>
    </row>
    <row r="295">
      <c r="A295" s="98"/>
      <c r="D295" s="95"/>
      <c r="L295" s="50"/>
      <c r="O295" s="98"/>
      <c r="Q295" s="95"/>
    </row>
    <row r="296">
      <c r="A296" s="98"/>
      <c r="D296" s="95"/>
      <c r="L296" s="50"/>
      <c r="O296" s="98"/>
      <c r="Q296" s="95"/>
    </row>
    <row r="297">
      <c r="A297" s="98"/>
      <c r="D297" s="95"/>
      <c r="L297" s="50"/>
      <c r="O297" s="98"/>
      <c r="Q297" s="95"/>
    </row>
    <row r="298">
      <c r="A298" s="98"/>
      <c r="D298" s="95"/>
      <c r="L298" s="50"/>
      <c r="O298" s="98"/>
      <c r="Q298" s="95"/>
    </row>
    <row r="299">
      <c r="A299" s="98"/>
      <c r="D299" s="95"/>
      <c r="L299" s="50"/>
      <c r="O299" s="98"/>
      <c r="Q299" s="95"/>
    </row>
    <row r="300">
      <c r="A300" s="98"/>
      <c r="D300" s="95"/>
      <c r="L300" s="50"/>
      <c r="O300" s="98"/>
      <c r="Q300" s="95"/>
    </row>
    <row r="301">
      <c r="A301" s="98"/>
      <c r="D301" s="95"/>
      <c r="L301" s="50"/>
      <c r="O301" s="98"/>
      <c r="Q301" s="95"/>
    </row>
    <row r="302">
      <c r="A302" s="98"/>
      <c r="D302" s="95"/>
      <c r="L302" s="50"/>
      <c r="O302" s="98"/>
      <c r="Q302" s="95"/>
    </row>
    <row r="303">
      <c r="A303" s="98"/>
      <c r="D303" s="95"/>
      <c r="L303" s="50"/>
      <c r="O303" s="98"/>
      <c r="Q303" s="95"/>
    </row>
    <row r="304">
      <c r="A304" s="98"/>
      <c r="D304" s="95"/>
      <c r="L304" s="50"/>
      <c r="O304" s="98"/>
      <c r="Q304" s="95"/>
    </row>
    <row r="305">
      <c r="A305" s="98"/>
      <c r="D305" s="95"/>
      <c r="L305" s="50"/>
      <c r="O305" s="98"/>
      <c r="Q305" s="95"/>
    </row>
    <row r="306">
      <c r="A306" s="98"/>
      <c r="D306" s="95"/>
      <c r="L306" s="50"/>
      <c r="O306" s="98"/>
      <c r="Q306" s="95"/>
    </row>
    <row r="307">
      <c r="A307" s="98"/>
      <c r="D307" s="95"/>
      <c r="L307" s="50"/>
      <c r="O307" s="98"/>
      <c r="Q307" s="95"/>
    </row>
    <row r="308">
      <c r="A308" s="98"/>
      <c r="D308" s="95"/>
      <c r="L308" s="50"/>
      <c r="O308" s="98"/>
      <c r="Q308" s="95"/>
    </row>
    <row r="309">
      <c r="A309" s="98"/>
      <c r="D309" s="95"/>
      <c r="L309" s="50"/>
      <c r="O309" s="98"/>
      <c r="Q309" s="95"/>
    </row>
    <row r="310">
      <c r="A310" s="98"/>
      <c r="D310" s="95"/>
      <c r="L310" s="50"/>
      <c r="O310" s="98"/>
      <c r="Q310" s="95"/>
    </row>
    <row r="311">
      <c r="A311" s="98"/>
      <c r="D311" s="95"/>
      <c r="L311" s="50"/>
      <c r="O311" s="98"/>
      <c r="Q311" s="95"/>
    </row>
    <row r="312">
      <c r="A312" s="98"/>
      <c r="D312" s="95"/>
      <c r="L312" s="50"/>
      <c r="O312" s="98"/>
      <c r="Q312" s="95"/>
    </row>
    <row r="313">
      <c r="A313" s="98"/>
      <c r="D313" s="95"/>
      <c r="L313" s="50"/>
      <c r="O313" s="98"/>
      <c r="Q313" s="95"/>
    </row>
    <row r="314">
      <c r="A314" s="98"/>
      <c r="D314" s="95"/>
      <c r="L314" s="50"/>
      <c r="O314" s="98"/>
      <c r="Q314" s="95"/>
    </row>
    <row r="315">
      <c r="A315" s="98"/>
      <c r="D315" s="95"/>
      <c r="L315" s="50"/>
      <c r="O315" s="98"/>
      <c r="Q315" s="95"/>
    </row>
    <row r="316">
      <c r="A316" s="98"/>
      <c r="D316" s="95"/>
      <c r="L316" s="50"/>
      <c r="O316" s="98"/>
      <c r="Q316" s="95"/>
    </row>
    <row r="317">
      <c r="A317" s="98"/>
      <c r="D317" s="95"/>
      <c r="L317" s="50"/>
      <c r="O317" s="98"/>
      <c r="Q317" s="95"/>
    </row>
    <row r="318">
      <c r="A318" s="98"/>
      <c r="D318" s="95"/>
      <c r="L318" s="50"/>
      <c r="O318" s="98"/>
      <c r="Q318" s="95"/>
    </row>
    <row r="319">
      <c r="A319" s="98"/>
      <c r="D319" s="95"/>
      <c r="L319" s="50"/>
      <c r="O319" s="98"/>
      <c r="Q319" s="95"/>
    </row>
    <row r="320">
      <c r="A320" s="98"/>
      <c r="D320" s="95"/>
      <c r="L320" s="50"/>
      <c r="O320" s="98"/>
      <c r="Q320" s="95"/>
    </row>
    <row r="321">
      <c r="A321" s="98"/>
      <c r="D321" s="95"/>
      <c r="L321" s="50"/>
      <c r="O321" s="98"/>
      <c r="Q321" s="95"/>
    </row>
    <row r="322">
      <c r="A322" s="98"/>
      <c r="D322" s="95"/>
      <c r="L322" s="50"/>
      <c r="O322" s="98"/>
      <c r="Q322" s="95"/>
    </row>
    <row r="323">
      <c r="A323" s="98"/>
      <c r="D323" s="95"/>
      <c r="L323" s="50"/>
      <c r="O323" s="98"/>
      <c r="Q323" s="95"/>
    </row>
    <row r="324">
      <c r="A324" s="98"/>
      <c r="D324" s="95"/>
      <c r="L324" s="50"/>
      <c r="O324" s="98"/>
      <c r="Q324" s="95"/>
    </row>
    <row r="325">
      <c r="A325" s="98"/>
      <c r="D325" s="95"/>
      <c r="L325" s="50"/>
      <c r="O325" s="98"/>
      <c r="Q325" s="95"/>
    </row>
    <row r="326">
      <c r="A326" s="98"/>
      <c r="D326" s="95"/>
      <c r="L326" s="50"/>
      <c r="O326" s="98"/>
      <c r="Q326" s="95"/>
    </row>
    <row r="327">
      <c r="A327" s="98"/>
      <c r="D327" s="95"/>
      <c r="L327" s="50"/>
      <c r="O327" s="98"/>
      <c r="Q327" s="95"/>
    </row>
    <row r="328">
      <c r="A328" s="98"/>
      <c r="D328" s="95"/>
      <c r="L328" s="50"/>
      <c r="O328" s="98"/>
      <c r="Q328" s="95"/>
    </row>
    <row r="329">
      <c r="A329" s="98"/>
      <c r="D329" s="95"/>
      <c r="L329" s="50"/>
      <c r="O329" s="98"/>
      <c r="Q329" s="95"/>
    </row>
    <row r="330">
      <c r="A330" s="98"/>
      <c r="D330" s="95"/>
      <c r="L330" s="50"/>
      <c r="O330" s="98"/>
      <c r="Q330" s="95"/>
    </row>
    <row r="331">
      <c r="A331" s="98"/>
      <c r="D331" s="95"/>
      <c r="L331" s="50"/>
      <c r="O331" s="98"/>
      <c r="Q331" s="95"/>
    </row>
    <row r="332">
      <c r="A332" s="98"/>
      <c r="D332" s="95"/>
      <c r="L332" s="50"/>
      <c r="O332" s="98"/>
      <c r="Q332" s="95"/>
    </row>
    <row r="333">
      <c r="A333" s="98"/>
      <c r="D333" s="95"/>
      <c r="L333" s="50"/>
      <c r="O333" s="98"/>
      <c r="Q333" s="95"/>
    </row>
    <row r="334">
      <c r="A334" s="98"/>
      <c r="D334" s="95"/>
      <c r="L334" s="50"/>
      <c r="O334" s="98"/>
      <c r="Q334" s="95"/>
    </row>
    <row r="335">
      <c r="A335" s="98"/>
      <c r="D335" s="95"/>
      <c r="L335" s="50"/>
      <c r="O335" s="98"/>
      <c r="Q335" s="95"/>
    </row>
    <row r="336">
      <c r="A336" s="98"/>
      <c r="D336" s="95"/>
      <c r="L336" s="50"/>
      <c r="O336" s="98"/>
      <c r="Q336" s="95"/>
    </row>
    <row r="337">
      <c r="A337" s="98"/>
      <c r="D337" s="95"/>
      <c r="L337" s="50"/>
      <c r="O337" s="98"/>
      <c r="Q337" s="95"/>
    </row>
    <row r="338">
      <c r="A338" s="98"/>
      <c r="D338" s="95"/>
      <c r="L338" s="50"/>
      <c r="O338" s="98"/>
      <c r="Q338" s="95"/>
    </row>
    <row r="339">
      <c r="A339" s="98"/>
      <c r="D339" s="95"/>
      <c r="L339" s="50"/>
      <c r="O339" s="98"/>
      <c r="Q339" s="95"/>
    </row>
    <row r="340">
      <c r="A340" s="98"/>
      <c r="D340" s="95"/>
      <c r="L340" s="50"/>
      <c r="O340" s="98"/>
      <c r="Q340" s="95"/>
    </row>
    <row r="341">
      <c r="A341" s="98"/>
      <c r="D341" s="95"/>
      <c r="L341" s="50"/>
      <c r="O341" s="98"/>
      <c r="Q341" s="95"/>
    </row>
    <row r="342">
      <c r="A342" s="98"/>
      <c r="D342" s="95"/>
      <c r="L342" s="50"/>
      <c r="O342" s="98"/>
      <c r="Q342" s="95"/>
    </row>
    <row r="343">
      <c r="A343" s="98"/>
      <c r="D343" s="95"/>
      <c r="L343" s="50"/>
      <c r="O343" s="98"/>
      <c r="Q343" s="95"/>
    </row>
    <row r="344">
      <c r="A344" s="98"/>
      <c r="D344" s="95"/>
      <c r="L344" s="50"/>
      <c r="O344" s="98"/>
      <c r="Q344" s="95"/>
    </row>
    <row r="345">
      <c r="A345" s="98"/>
      <c r="D345" s="95"/>
      <c r="L345" s="50"/>
      <c r="O345" s="98"/>
      <c r="Q345" s="95"/>
    </row>
    <row r="346">
      <c r="A346" s="98"/>
      <c r="D346" s="95"/>
      <c r="L346" s="50"/>
      <c r="O346" s="98"/>
      <c r="Q346" s="95"/>
    </row>
    <row r="347">
      <c r="A347" s="98"/>
      <c r="D347" s="95"/>
      <c r="L347" s="50"/>
      <c r="O347" s="98"/>
      <c r="Q347" s="95"/>
    </row>
    <row r="348">
      <c r="A348" s="98"/>
      <c r="D348" s="95"/>
      <c r="L348" s="50"/>
      <c r="O348" s="98"/>
      <c r="Q348" s="95"/>
    </row>
    <row r="349">
      <c r="A349" s="98"/>
      <c r="D349" s="95"/>
      <c r="L349" s="50"/>
      <c r="O349" s="98"/>
      <c r="Q349" s="95"/>
    </row>
    <row r="350">
      <c r="A350" s="98"/>
      <c r="D350" s="95"/>
      <c r="L350" s="50"/>
      <c r="O350" s="98"/>
      <c r="Q350" s="95"/>
    </row>
    <row r="351">
      <c r="A351" s="98"/>
      <c r="D351" s="95"/>
      <c r="L351" s="50"/>
      <c r="O351" s="98"/>
      <c r="Q351" s="95"/>
    </row>
    <row r="352">
      <c r="A352" s="98"/>
      <c r="D352" s="95"/>
      <c r="L352" s="50"/>
      <c r="O352" s="98"/>
      <c r="Q352" s="95"/>
    </row>
    <row r="353">
      <c r="A353" s="98"/>
      <c r="D353" s="95"/>
      <c r="L353" s="50"/>
      <c r="O353" s="98"/>
      <c r="Q353" s="95"/>
    </row>
    <row r="354">
      <c r="A354" s="98"/>
      <c r="D354" s="95"/>
      <c r="L354" s="50"/>
      <c r="O354" s="98"/>
      <c r="Q354" s="95"/>
    </row>
    <row r="355">
      <c r="A355" s="98"/>
      <c r="D355" s="95"/>
      <c r="L355" s="50"/>
      <c r="O355" s="98"/>
      <c r="Q355" s="95"/>
    </row>
    <row r="356">
      <c r="A356" s="98"/>
      <c r="D356" s="95"/>
      <c r="L356" s="50"/>
      <c r="O356" s="98"/>
      <c r="Q356" s="95"/>
    </row>
    <row r="357">
      <c r="A357" s="98"/>
      <c r="D357" s="95"/>
      <c r="L357" s="50"/>
      <c r="O357" s="98"/>
      <c r="Q357" s="95"/>
    </row>
    <row r="358">
      <c r="A358" s="98"/>
      <c r="D358" s="95"/>
      <c r="L358" s="50"/>
      <c r="O358" s="98"/>
      <c r="Q358" s="95"/>
    </row>
    <row r="359">
      <c r="A359" s="98"/>
      <c r="D359" s="95"/>
      <c r="L359" s="50"/>
      <c r="O359" s="98"/>
      <c r="Q359" s="95"/>
    </row>
    <row r="360">
      <c r="A360" s="98"/>
      <c r="D360" s="95"/>
      <c r="L360" s="50"/>
      <c r="O360" s="98"/>
      <c r="Q360" s="95"/>
    </row>
    <row r="361">
      <c r="A361" s="98"/>
      <c r="D361" s="95"/>
      <c r="L361" s="50"/>
      <c r="O361" s="98"/>
      <c r="Q361" s="95"/>
    </row>
    <row r="362">
      <c r="A362" s="98"/>
      <c r="D362" s="95"/>
      <c r="L362" s="50"/>
      <c r="O362" s="98"/>
      <c r="Q362" s="95"/>
    </row>
    <row r="363">
      <c r="A363" s="98"/>
      <c r="D363" s="95"/>
      <c r="L363" s="50"/>
      <c r="O363" s="98"/>
      <c r="Q363" s="95"/>
    </row>
    <row r="364">
      <c r="A364" s="98"/>
      <c r="D364" s="95"/>
      <c r="L364" s="50"/>
      <c r="O364" s="98"/>
      <c r="Q364" s="95"/>
    </row>
    <row r="365">
      <c r="A365" s="98"/>
      <c r="D365" s="95"/>
      <c r="L365" s="50"/>
      <c r="O365" s="98"/>
      <c r="Q365" s="95"/>
    </row>
    <row r="366">
      <c r="A366" s="98"/>
      <c r="D366" s="95"/>
      <c r="L366" s="50"/>
      <c r="O366" s="98"/>
      <c r="Q366" s="95"/>
    </row>
    <row r="367">
      <c r="A367" s="98"/>
      <c r="D367" s="95"/>
      <c r="L367" s="50"/>
      <c r="O367" s="98"/>
      <c r="Q367" s="95"/>
    </row>
    <row r="368">
      <c r="A368" s="98"/>
      <c r="D368" s="95"/>
      <c r="L368" s="50"/>
      <c r="O368" s="98"/>
      <c r="Q368" s="95"/>
    </row>
    <row r="369">
      <c r="A369" s="98"/>
      <c r="D369" s="95"/>
      <c r="L369" s="50"/>
      <c r="O369" s="98"/>
      <c r="Q369" s="95"/>
    </row>
    <row r="370">
      <c r="A370" s="98"/>
      <c r="D370" s="95"/>
      <c r="L370" s="50"/>
      <c r="O370" s="98"/>
      <c r="Q370" s="95"/>
    </row>
    <row r="371">
      <c r="A371" s="98"/>
      <c r="D371" s="95"/>
      <c r="L371" s="50"/>
      <c r="O371" s="98"/>
      <c r="Q371" s="95"/>
    </row>
    <row r="372">
      <c r="A372" s="98"/>
      <c r="D372" s="95"/>
      <c r="L372" s="50"/>
      <c r="O372" s="98"/>
      <c r="Q372" s="95"/>
    </row>
    <row r="373">
      <c r="A373" s="98"/>
      <c r="D373" s="95"/>
      <c r="L373" s="50"/>
      <c r="O373" s="98"/>
      <c r="Q373" s="95"/>
    </row>
    <row r="374">
      <c r="A374" s="98"/>
      <c r="D374" s="95"/>
      <c r="L374" s="50"/>
      <c r="O374" s="98"/>
      <c r="Q374" s="95"/>
    </row>
    <row r="375">
      <c r="A375" s="98"/>
      <c r="D375" s="95"/>
      <c r="L375" s="50"/>
      <c r="O375" s="98"/>
      <c r="Q375" s="95"/>
    </row>
    <row r="376">
      <c r="A376" s="98"/>
      <c r="D376" s="95"/>
      <c r="L376" s="50"/>
      <c r="O376" s="98"/>
      <c r="Q376" s="95"/>
    </row>
    <row r="377">
      <c r="A377" s="98"/>
      <c r="D377" s="95"/>
      <c r="L377" s="50"/>
      <c r="O377" s="98"/>
      <c r="Q377" s="95"/>
    </row>
    <row r="378">
      <c r="A378" s="98"/>
      <c r="D378" s="95"/>
      <c r="L378" s="50"/>
      <c r="O378" s="98"/>
      <c r="Q378" s="95"/>
    </row>
    <row r="379">
      <c r="A379" s="98"/>
      <c r="D379" s="95"/>
      <c r="L379" s="50"/>
      <c r="O379" s="98"/>
      <c r="Q379" s="95"/>
    </row>
    <row r="380">
      <c r="A380" s="98"/>
      <c r="D380" s="95"/>
      <c r="L380" s="50"/>
      <c r="O380" s="98"/>
      <c r="Q380" s="95"/>
    </row>
    <row r="381">
      <c r="A381" s="98"/>
      <c r="D381" s="95"/>
      <c r="L381" s="50"/>
      <c r="O381" s="98"/>
      <c r="Q381" s="95"/>
    </row>
    <row r="382">
      <c r="A382" s="98"/>
      <c r="D382" s="95"/>
      <c r="L382" s="50"/>
      <c r="O382" s="98"/>
      <c r="Q382" s="95"/>
    </row>
    <row r="383">
      <c r="A383" s="98"/>
      <c r="D383" s="95"/>
      <c r="L383" s="50"/>
      <c r="O383" s="98"/>
      <c r="Q383" s="95"/>
    </row>
    <row r="384">
      <c r="A384" s="98"/>
      <c r="D384" s="95"/>
      <c r="L384" s="50"/>
      <c r="O384" s="98"/>
      <c r="Q384" s="95"/>
    </row>
    <row r="385">
      <c r="A385" s="98"/>
      <c r="D385" s="95"/>
      <c r="L385" s="50"/>
      <c r="O385" s="98"/>
      <c r="Q385" s="95"/>
    </row>
    <row r="386">
      <c r="A386" s="98"/>
      <c r="D386" s="95"/>
      <c r="L386" s="50"/>
      <c r="O386" s="98"/>
      <c r="Q386" s="95"/>
    </row>
    <row r="387">
      <c r="A387" s="98"/>
      <c r="D387" s="95"/>
      <c r="L387" s="50"/>
      <c r="O387" s="98"/>
      <c r="Q387" s="95"/>
    </row>
    <row r="388">
      <c r="A388" s="98"/>
      <c r="D388" s="95"/>
      <c r="L388" s="50"/>
      <c r="O388" s="98"/>
      <c r="Q388" s="95"/>
    </row>
    <row r="389">
      <c r="A389" s="98"/>
      <c r="D389" s="95"/>
      <c r="L389" s="50"/>
      <c r="O389" s="98"/>
      <c r="Q389" s="95"/>
    </row>
    <row r="390">
      <c r="A390" s="98"/>
      <c r="D390" s="95"/>
      <c r="L390" s="50"/>
      <c r="O390" s="98"/>
      <c r="Q390" s="95"/>
    </row>
    <row r="391">
      <c r="A391" s="98"/>
      <c r="D391" s="95"/>
      <c r="L391" s="50"/>
      <c r="O391" s="98"/>
      <c r="Q391" s="95"/>
    </row>
    <row r="392">
      <c r="A392" s="98"/>
      <c r="D392" s="95"/>
      <c r="L392" s="50"/>
      <c r="O392" s="98"/>
      <c r="Q392" s="95"/>
    </row>
    <row r="393">
      <c r="A393" s="98"/>
      <c r="D393" s="95"/>
      <c r="L393" s="50"/>
      <c r="O393" s="98"/>
      <c r="Q393" s="95"/>
    </row>
    <row r="394">
      <c r="A394" s="98"/>
      <c r="D394" s="95"/>
      <c r="L394" s="50"/>
      <c r="O394" s="98"/>
      <c r="Q394" s="95"/>
    </row>
    <row r="395">
      <c r="A395" s="98"/>
      <c r="D395" s="95"/>
      <c r="L395" s="50"/>
      <c r="O395" s="98"/>
      <c r="Q395" s="95"/>
    </row>
    <row r="396">
      <c r="A396" s="98"/>
      <c r="D396" s="95"/>
      <c r="L396" s="50"/>
      <c r="O396" s="98"/>
      <c r="Q396" s="95"/>
    </row>
    <row r="397">
      <c r="A397" s="98"/>
      <c r="D397" s="95"/>
      <c r="L397" s="50"/>
      <c r="O397" s="98"/>
      <c r="Q397" s="95"/>
    </row>
    <row r="398">
      <c r="A398" s="98"/>
      <c r="D398" s="95"/>
      <c r="L398" s="50"/>
      <c r="O398" s="98"/>
      <c r="Q398" s="95"/>
    </row>
    <row r="399">
      <c r="A399" s="98"/>
      <c r="D399" s="95"/>
      <c r="L399" s="50"/>
      <c r="O399" s="98"/>
      <c r="Q399" s="95"/>
    </row>
    <row r="400">
      <c r="A400" s="98"/>
      <c r="D400" s="95"/>
      <c r="L400" s="50"/>
      <c r="O400" s="98"/>
      <c r="Q400" s="95"/>
    </row>
    <row r="401">
      <c r="A401" s="98"/>
      <c r="D401" s="95"/>
      <c r="L401" s="50"/>
      <c r="O401" s="98"/>
      <c r="Q401" s="95"/>
    </row>
    <row r="402">
      <c r="A402" s="98"/>
      <c r="D402" s="95"/>
      <c r="L402" s="50"/>
      <c r="O402" s="98"/>
      <c r="Q402" s="95"/>
    </row>
    <row r="403">
      <c r="A403" s="98"/>
      <c r="D403" s="95"/>
      <c r="L403" s="50"/>
      <c r="O403" s="98"/>
      <c r="Q403" s="95"/>
    </row>
    <row r="404">
      <c r="A404" s="98"/>
      <c r="D404" s="95"/>
      <c r="L404" s="50"/>
      <c r="O404" s="98"/>
      <c r="Q404" s="95"/>
    </row>
    <row r="405">
      <c r="A405" s="98"/>
      <c r="D405" s="95"/>
      <c r="L405" s="50"/>
      <c r="O405" s="98"/>
      <c r="Q405" s="95"/>
    </row>
    <row r="406">
      <c r="A406" s="98"/>
      <c r="D406" s="95"/>
      <c r="L406" s="50"/>
      <c r="O406" s="98"/>
      <c r="Q406" s="95"/>
    </row>
    <row r="407">
      <c r="A407" s="98"/>
      <c r="D407" s="95"/>
      <c r="L407" s="50"/>
      <c r="O407" s="98"/>
      <c r="Q407" s="95"/>
    </row>
    <row r="408">
      <c r="A408" s="98"/>
      <c r="D408" s="95"/>
      <c r="L408" s="50"/>
      <c r="O408" s="98"/>
      <c r="Q408" s="95"/>
    </row>
    <row r="409">
      <c r="A409" s="98"/>
      <c r="D409" s="95"/>
      <c r="L409" s="50"/>
      <c r="O409" s="98"/>
      <c r="Q409" s="95"/>
    </row>
    <row r="410">
      <c r="A410" s="98"/>
      <c r="D410" s="95"/>
      <c r="L410" s="50"/>
      <c r="O410" s="98"/>
      <c r="Q410" s="95"/>
    </row>
    <row r="411">
      <c r="A411" s="98"/>
      <c r="D411" s="95"/>
      <c r="L411" s="50"/>
      <c r="O411" s="98"/>
      <c r="Q411" s="95"/>
    </row>
    <row r="412">
      <c r="A412" s="98"/>
      <c r="D412" s="95"/>
      <c r="L412" s="50"/>
      <c r="O412" s="98"/>
      <c r="Q412" s="95"/>
    </row>
    <row r="413">
      <c r="A413" s="98"/>
      <c r="D413" s="95"/>
      <c r="L413" s="50"/>
      <c r="O413" s="98"/>
      <c r="Q413" s="95"/>
    </row>
    <row r="414">
      <c r="A414" s="98"/>
      <c r="D414" s="95"/>
      <c r="L414" s="50"/>
      <c r="O414" s="98"/>
      <c r="Q414" s="95"/>
    </row>
    <row r="415">
      <c r="A415" s="98"/>
      <c r="D415" s="95"/>
      <c r="L415" s="50"/>
      <c r="O415" s="98"/>
      <c r="Q415" s="95"/>
    </row>
    <row r="416">
      <c r="A416" s="98"/>
      <c r="D416" s="95"/>
      <c r="L416" s="50"/>
      <c r="O416" s="98"/>
      <c r="Q416" s="95"/>
    </row>
    <row r="417">
      <c r="A417" s="98"/>
      <c r="D417" s="95"/>
      <c r="L417" s="50"/>
      <c r="O417" s="98"/>
      <c r="Q417" s="95"/>
    </row>
    <row r="418">
      <c r="A418" s="98"/>
      <c r="D418" s="95"/>
      <c r="L418" s="50"/>
      <c r="O418" s="98"/>
      <c r="Q418" s="95"/>
    </row>
    <row r="419">
      <c r="A419" s="98"/>
      <c r="D419" s="95"/>
      <c r="L419" s="50"/>
      <c r="O419" s="98"/>
      <c r="Q419" s="95"/>
    </row>
    <row r="420">
      <c r="A420" s="98"/>
      <c r="D420" s="95"/>
      <c r="L420" s="50"/>
      <c r="O420" s="98"/>
      <c r="Q420" s="95"/>
    </row>
    <row r="421">
      <c r="A421" s="98"/>
      <c r="D421" s="95"/>
      <c r="L421" s="50"/>
      <c r="O421" s="98"/>
      <c r="Q421" s="95"/>
    </row>
    <row r="422">
      <c r="A422" s="98"/>
      <c r="D422" s="95"/>
      <c r="L422" s="50"/>
      <c r="O422" s="98"/>
      <c r="Q422" s="95"/>
    </row>
    <row r="423">
      <c r="A423" s="98"/>
      <c r="D423" s="95"/>
      <c r="L423" s="50"/>
      <c r="O423" s="98"/>
      <c r="Q423" s="95"/>
    </row>
    <row r="424">
      <c r="A424" s="98"/>
      <c r="D424" s="95"/>
      <c r="L424" s="50"/>
      <c r="O424" s="98"/>
      <c r="Q424" s="95"/>
    </row>
    <row r="425">
      <c r="A425" s="98"/>
      <c r="D425" s="95"/>
      <c r="L425" s="50"/>
      <c r="O425" s="98"/>
      <c r="Q425" s="95"/>
    </row>
    <row r="426">
      <c r="A426" s="98"/>
      <c r="D426" s="95"/>
      <c r="L426" s="50"/>
      <c r="O426" s="98"/>
      <c r="Q426" s="95"/>
    </row>
    <row r="427">
      <c r="A427" s="98"/>
      <c r="D427" s="95"/>
      <c r="L427" s="50"/>
      <c r="O427" s="98"/>
      <c r="Q427" s="95"/>
    </row>
    <row r="428">
      <c r="A428" s="98"/>
      <c r="D428" s="95"/>
      <c r="L428" s="50"/>
      <c r="O428" s="98"/>
      <c r="Q428" s="95"/>
    </row>
    <row r="429">
      <c r="A429" s="98"/>
      <c r="D429" s="95"/>
      <c r="L429" s="50"/>
      <c r="O429" s="98"/>
      <c r="Q429" s="95"/>
    </row>
    <row r="430">
      <c r="A430" s="98"/>
      <c r="D430" s="95"/>
      <c r="L430" s="50"/>
      <c r="O430" s="98"/>
      <c r="Q430" s="95"/>
    </row>
    <row r="431">
      <c r="A431" s="98"/>
      <c r="D431" s="95"/>
      <c r="L431" s="50"/>
      <c r="O431" s="98"/>
      <c r="Q431" s="95"/>
    </row>
    <row r="432">
      <c r="A432" s="98"/>
      <c r="D432" s="95"/>
      <c r="L432" s="50"/>
      <c r="O432" s="98"/>
      <c r="Q432" s="95"/>
    </row>
    <row r="433">
      <c r="A433" s="98"/>
      <c r="D433" s="95"/>
      <c r="L433" s="50"/>
      <c r="O433" s="98"/>
      <c r="Q433" s="95"/>
    </row>
    <row r="434">
      <c r="A434" s="98"/>
      <c r="D434" s="95"/>
      <c r="L434" s="50"/>
      <c r="O434" s="98"/>
      <c r="Q434" s="95"/>
    </row>
    <row r="435">
      <c r="A435" s="98"/>
      <c r="D435" s="95"/>
      <c r="L435" s="50"/>
      <c r="O435" s="98"/>
      <c r="Q435" s="95"/>
    </row>
    <row r="436">
      <c r="A436" s="98"/>
      <c r="D436" s="95"/>
      <c r="L436" s="50"/>
      <c r="O436" s="98"/>
      <c r="Q436" s="95"/>
    </row>
    <row r="437">
      <c r="A437" s="98"/>
      <c r="D437" s="95"/>
      <c r="L437" s="50"/>
      <c r="O437" s="98"/>
      <c r="Q437" s="95"/>
    </row>
    <row r="438">
      <c r="A438" s="98"/>
      <c r="D438" s="95"/>
      <c r="L438" s="50"/>
      <c r="O438" s="98"/>
      <c r="Q438" s="95"/>
    </row>
    <row r="439">
      <c r="A439" s="98"/>
      <c r="D439" s="95"/>
      <c r="L439" s="50"/>
      <c r="O439" s="98"/>
      <c r="Q439" s="95"/>
    </row>
    <row r="440">
      <c r="A440" s="98"/>
      <c r="D440" s="95"/>
      <c r="L440" s="50"/>
      <c r="O440" s="98"/>
      <c r="Q440" s="95"/>
    </row>
    <row r="441">
      <c r="A441" s="98"/>
      <c r="D441" s="95"/>
      <c r="L441" s="50"/>
      <c r="O441" s="98"/>
      <c r="Q441" s="95"/>
    </row>
    <row r="442">
      <c r="A442" s="98"/>
      <c r="D442" s="95"/>
      <c r="L442" s="50"/>
      <c r="O442" s="98"/>
      <c r="Q442" s="95"/>
    </row>
    <row r="443">
      <c r="A443" s="98"/>
      <c r="D443" s="95"/>
      <c r="L443" s="50"/>
      <c r="O443" s="98"/>
      <c r="Q443" s="95"/>
    </row>
    <row r="444">
      <c r="A444" s="98"/>
      <c r="D444" s="95"/>
      <c r="L444" s="50"/>
      <c r="O444" s="98"/>
      <c r="Q444" s="95"/>
    </row>
    <row r="445">
      <c r="A445" s="98"/>
      <c r="D445" s="95"/>
      <c r="L445" s="50"/>
      <c r="O445" s="98"/>
      <c r="Q445" s="95"/>
    </row>
    <row r="446">
      <c r="A446" s="98"/>
      <c r="D446" s="95"/>
      <c r="L446" s="50"/>
      <c r="O446" s="98"/>
      <c r="Q446" s="95"/>
    </row>
    <row r="447">
      <c r="A447" s="98"/>
      <c r="D447" s="95"/>
      <c r="L447" s="50"/>
      <c r="O447" s="98"/>
      <c r="Q447" s="95"/>
    </row>
    <row r="448">
      <c r="A448" s="98"/>
      <c r="D448" s="95"/>
      <c r="L448" s="50"/>
      <c r="O448" s="98"/>
      <c r="Q448" s="95"/>
    </row>
    <row r="449">
      <c r="A449" s="98"/>
      <c r="D449" s="95"/>
      <c r="L449" s="50"/>
      <c r="O449" s="98"/>
      <c r="Q449" s="95"/>
    </row>
    <row r="450">
      <c r="A450" s="98"/>
      <c r="D450" s="95"/>
      <c r="L450" s="50"/>
      <c r="O450" s="98"/>
      <c r="Q450" s="95"/>
    </row>
    <row r="451">
      <c r="A451" s="98"/>
      <c r="D451" s="95"/>
      <c r="L451" s="50"/>
      <c r="O451" s="98"/>
      <c r="Q451" s="95"/>
    </row>
    <row r="452">
      <c r="A452" s="98"/>
      <c r="D452" s="95"/>
      <c r="L452" s="50"/>
      <c r="O452" s="98"/>
      <c r="Q452" s="95"/>
    </row>
    <row r="453">
      <c r="A453" s="98"/>
      <c r="D453" s="95"/>
      <c r="L453" s="50"/>
      <c r="O453" s="98"/>
      <c r="Q453" s="95"/>
    </row>
    <row r="454">
      <c r="A454" s="98"/>
      <c r="D454" s="95"/>
      <c r="L454" s="50"/>
      <c r="O454" s="98"/>
      <c r="Q454" s="95"/>
    </row>
    <row r="455">
      <c r="A455" s="98"/>
      <c r="D455" s="95"/>
      <c r="L455" s="50"/>
      <c r="O455" s="98"/>
      <c r="Q455" s="95"/>
    </row>
    <row r="456">
      <c r="A456" s="98"/>
      <c r="D456" s="95"/>
      <c r="L456" s="50"/>
      <c r="O456" s="98"/>
      <c r="Q456" s="95"/>
    </row>
    <row r="457">
      <c r="A457" s="98"/>
      <c r="D457" s="95"/>
      <c r="L457" s="50"/>
      <c r="O457" s="98"/>
      <c r="Q457" s="95"/>
    </row>
    <row r="458">
      <c r="A458" s="98"/>
      <c r="D458" s="95"/>
      <c r="L458" s="50"/>
      <c r="O458" s="98"/>
      <c r="Q458" s="95"/>
    </row>
    <row r="459">
      <c r="A459" s="98"/>
      <c r="D459" s="95"/>
      <c r="L459" s="50"/>
      <c r="O459" s="98"/>
      <c r="Q459" s="95"/>
    </row>
    <row r="460">
      <c r="A460" s="98"/>
      <c r="D460" s="95"/>
      <c r="L460" s="50"/>
      <c r="O460" s="98"/>
      <c r="Q460" s="95"/>
    </row>
    <row r="461">
      <c r="A461" s="98"/>
      <c r="D461" s="95"/>
      <c r="L461" s="50"/>
      <c r="O461" s="98"/>
      <c r="Q461" s="95"/>
    </row>
    <row r="462">
      <c r="A462" s="98"/>
      <c r="D462" s="95"/>
      <c r="L462" s="50"/>
      <c r="O462" s="98"/>
      <c r="Q462" s="95"/>
    </row>
    <row r="463">
      <c r="A463" s="98"/>
      <c r="D463" s="95"/>
      <c r="L463" s="50"/>
      <c r="O463" s="98"/>
      <c r="Q463" s="95"/>
    </row>
    <row r="464">
      <c r="A464" s="98"/>
      <c r="D464" s="95"/>
      <c r="L464" s="50"/>
      <c r="O464" s="98"/>
      <c r="Q464" s="95"/>
    </row>
    <row r="465">
      <c r="A465" s="98"/>
      <c r="D465" s="95"/>
      <c r="L465" s="50"/>
      <c r="O465" s="98"/>
      <c r="Q465" s="95"/>
    </row>
    <row r="466">
      <c r="A466" s="98"/>
      <c r="D466" s="95"/>
      <c r="L466" s="50"/>
      <c r="O466" s="98"/>
      <c r="Q466" s="95"/>
    </row>
    <row r="467">
      <c r="A467" s="98"/>
      <c r="D467" s="95"/>
      <c r="L467" s="50"/>
      <c r="O467" s="98"/>
      <c r="Q467" s="95"/>
    </row>
    <row r="468">
      <c r="A468" s="98"/>
      <c r="D468" s="95"/>
      <c r="L468" s="50"/>
      <c r="O468" s="98"/>
      <c r="Q468" s="95"/>
    </row>
    <row r="469">
      <c r="A469" s="98"/>
      <c r="D469" s="95"/>
      <c r="L469" s="50"/>
      <c r="O469" s="98"/>
      <c r="Q469" s="95"/>
    </row>
    <row r="470">
      <c r="A470" s="98"/>
      <c r="D470" s="95"/>
      <c r="L470" s="50"/>
      <c r="O470" s="98"/>
      <c r="Q470" s="95"/>
    </row>
    <row r="471">
      <c r="A471" s="98"/>
      <c r="D471" s="95"/>
      <c r="L471" s="50"/>
      <c r="O471" s="98"/>
      <c r="Q471" s="95"/>
    </row>
    <row r="472">
      <c r="A472" s="98"/>
      <c r="D472" s="95"/>
      <c r="L472" s="50"/>
      <c r="O472" s="98"/>
      <c r="Q472" s="95"/>
    </row>
    <row r="473">
      <c r="A473" s="98"/>
      <c r="D473" s="95"/>
      <c r="L473" s="50"/>
      <c r="O473" s="98"/>
      <c r="Q473" s="95"/>
    </row>
    <row r="474">
      <c r="A474" s="98"/>
      <c r="D474" s="95"/>
      <c r="L474" s="50"/>
      <c r="O474" s="98"/>
      <c r="Q474" s="95"/>
    </row>
    <row r="475">
      <c r="A475" s="98"/>
      <c r="D475" s="95"/>
      <c r="L475" s="50"/>
      <c r="O475" s="98"/>
      <c r="Q475" s="95"/>
    </row>
    <row r="476">
      <c r="A476" s="98"/>
      <c r="D476" s="95"/>
      <c r="L476" s="50"/>
      <c r="O476" s="98"/>
      <c r="Q476" s="95"/>
    </row>
    <row r="477">
      <c r="A477" s="98"/>
      <c r="D477" s="95"/>
      <c r="L477" s="50"/>
      <c r="O477" s="98"/>
      <c r="Q477" s="95"/>
    </row>
    <row r="478">
      <c r="A478" s="98"/>
      <c r="D478" s="95"/>
      <c r="L478" s="50"/>
      <c r="O478" s="98"/>
      <c r="Q478" s="95"/>
    </row>
    <row r="479">
      <c r="A479" s="98"/>
      <c r="D479" s="95"/>
      <c r="L479" s="50"/>
      <c r="O479" s="98"/>
      <c r="Q479" s="95"/>
    </row>
    <row r="480">
      <c r="A480" s="98"/>
      <c r="D480" s="95"/>
      <c r="L480" s="50"/>
      <c r="O480" s="98"/>
      <c r="Q480" s="95"/>
    </row>
    <row r="481">
      <c r="A481" s="98"/>
      <c r="D481" s="95"/>
      <c r="L481" s="50"/>
      <c r="O481" s="98"/>
      <c r="Q481" s="95"/>
    </row>
    <row r="482">
      <c r="A482" s="98"/>
      <c r="D482" s="95"/>
      <c r="L482" s="50"/>
      <c r="O482" s="98"/>
      <c r="Q482" s="95"/>
    </row>
    <row r="483">
      <c r="A483" s="98"/>
      <c r="D483" s="95"/>
      <c r="L483" s="50"/>
      <c r="O483" s="98"/>
      <c r="Q483" s="95"/>
    </row>
    <row r="484">
      <c r="A484" s="98"/>
      <c r="D484" s="95"/>
      <c r="L484" s="50"/>
      <c r="O484" s="98"/>
      <c r="Q484" s="95"/>
    </row>
    <row r="485">
      <c r="A485" s="98"/>
      <c r="D485" s="95"/>
      <c r="L485" s="50"/>
      <c r="O485" s="98"/>
      <c r="Q485" s="95"/>
    </row>
    <row r="486">
      <c r="A486" s="98"/>
      <c r="D486" s="95"/>
      <c r="L486" s="50"/>
      <c r="O486" s="98"/>
      <c r="Q486" s="95"/>
    </row>
    <row r="487">
      <c r="A487" s="98"/>
      <c r="D487" s="95"/>
      <c r="L487" s="50"/>
      <c r="O487" s="98"/>
      <c r="Q487" s="95"/>
    </row>
    <row r="488">
      <c r="A488" s="98"/>
      <c r="D488" s="95"/>
      <c r="L488" s="50"/>
      <c r="O488" s="98"/>
      <c r="Q488" s="95"/>
    </row>
    <row r="489">
      <c r="A489" s="98"/>
      <c r="D489" s="95"/>
      <c r="L489" s="50"/>
      <c r="O489" s="98"/>
      <c r="Q489" s="95"/>
    </row>
    <row r="490">
      <c r="A490" s="98"/>
      <c r="D490" s="95"/>
      <c r="L490" s="50"/>
      <c r="O490" s="98"/>
      <c r="Q490" s="95"/>
    </row>
    <row r="491">
      <c r="A491" s="98"/>
      <c r="D491" s="95"/>
      <c r="L491" s="50"/>
      <c r="O491" s="98"/>
      <c r="Q491" s="95"/>
    </row>
    <row r="492">
      <c r="A492" s="98"/>
      <c r="D492" s="95"/>
      <c r="L492" s="50"/>
      <c r="O492" s="98"/>
      <c r="Q492" s="95"/>
    </row>
    <row r="493">
      <c r="A493" s="98"/>
      <c r="D493" s="95"/>
      <c r="L493" s="50"/>
      <c r="O493" s="98"/>
      <c r="Q493" s="95"/>
    </row>
    <row r="494">
      <c r="A494" s="98"/>
      <c r="D494" s="95"/>
      <c r="L494" s="50"/>
      <c r="O494" s="98"/>
      <c r="Q494" s="95"/>
    </row>
    <row r="495">
      <c r="A495" s="98"/>
      <c r="D495" s="95"/>
      <c r="L495" s="50"/>
      <c r="O495" s="98"/>
      <c r="Q495" s="95"/>
    </row>
    <row r="496">
      <c r="A496" s="98"/>
      <c r="D496" s="95"/>
      <c r="L496" s="50"/>
      <c r="O496" s="98"/>
      <c r="Q496" s="95"/>
    </row>
    <row r="497">
      <c r="A497" s="98"/>
      <c r="D497" s="95"/>
      <c r="L497" s="50"/>
      <c r="O497" s="98"/>
      <c r="Q497" s="95"/>
    </row>
    <row r="498">
      <c r="A498" s="98"/>
      <c r="D498" s="95"/>
      <c r="L498" s="50"/>
      <c r="O498" s="98"/>
      <c r="Q498" s="95"/>
    </row>
    <row r="499">
      <c r="A499" s="98"/>
      <c r="D499" s="95"/>
      <c r="L499" s="50"/>
      <c r="O499" s="98"/>
      <c r="Q499" s="95"/>
    </row>
    <row r="500">
      <c r="A500" s="98"/>
      <c r="D500" s="95"/>
      <c r="L500" s="50"/>
      <c r="O500" s="98"/>
      <c r="Q500" s="95"/>
    </row>
    <row r="501">
      <c r="A501" s="98"/>
      <c r="D501" s="95"/>
      <c r="L501" s="50"/>
      <c r="O501" s="98"/>
      <c r="Q501" s="95"/>
    </row>
    <row r="502">
      <c r="A502" s="98"/>
      <c r="D502" s="95"/>
      <c r="L502" s="50"/>
      <c r="O502" s="98"/>
      <c r="Q502" s="95"/>
    </row>
    <row r="503">
      <c r="A503" s="98"/>
      <c r="D503" s="95"/>
      <c r="L503" s="50"/>
      <c r="O503" s="98"/>
      <c r="Q503" s="95"/>
    </row>
    <row r="504">
      <c r="A504" s="98"/>
      <c r="D504" s="95"/>
      <c r="L504" s="50"/>
      <c r="O504" s="98"/>
      <c r="Q504" s="95"/>
    </row>
    <row r="505">
      <c r="A505" s="98"/>
      <c r="D505" s="95"/>
      <c r="L505" s="50"/>
      <c r="O505" s="98"/>
      <c r="Q505" s="95"/>
    </row>
    <row r="506">
      <c r="A506" s="98"/>
      <c r="D506" s="95"/>
      <c r="L506" s="50"/>
      <c r="O506" s="98"/>
      <c r="Q506" s="95"/>
    </row>
    <row r="507">
      <c r="A507" s="98"/>
      <c r="D507" s="95"/>
      <c r="L507" s="50"/>
      <c r="O507" s="98"/>
      <c r="Q507" s="95"/>
    </row>
    <row r="508">
      <c r="A508" s="98"/>
      <c r="D508" s="95"/>
      <c r="L508" s="50"/>
      <c r="O508" s="98"/>
      <c r="Q508" s="95"/>
    </row>
    <row r="509">
      <c r="A509" s="98"/>
      <c r="D509" s="95"/>
      <c r="L509" s="50"/>
      <c r="O509" s="98"/>
      <c r="Q509" s="95"/>
    </row>
    <row r="510">
      <c r="A510" s="98"/>
      <c r="D510" s="95"/>
      <c r="L510" s="50"/>
      <c r="O510" s="98"/>
      <c r="Q510" s="95"/>
    </row>
    <row r="511">
      <c r="A511" s="98"/>
      <c r="D511" s="95"/>
      <c r="L511" s="50"/>
      <c r="O511" s="98"/>
      <c r="Q511" s="95"/>
    </row>
    <row r="512">
      <c r="A512" s="98"/>
      <c r="D512" s="95"/>
      <c r="L512" s="50"/>
      <c r="O512" s="98"/>
      <c r="Q512" s="95"/>
    </row>
    <row r="513">
      <c r="A513" s="98"/>
      <c r="D513" s="95"/>
      <c r="L513" s="50"/>
      <c r="O513" s="98"/>
      <c r="Q513" s="95"/>
    </row>
    <row r="514">
      <c r="A514" s="98"/>
      <c r="D514" s="95"/>
      <c r="L514" s="50"/>
      <c r="O514" s="98"/>
      <c r="Q514" s="95"/>
    </row>
    <row r="515">
      <c r="A515" s="98"/>
      <c r="D515" s="95"/>
      <c r="L515" s="50"/>
      <c r="O515" s="98"/>
      <c r="Q515" s="95"/>
    </row>
    <row r="516">
      <c r="A516" s="98"/>
      <c r="D516" s="95"/>
      <c r="L516" s="50"/>
      <c r="O516" s="98"/>
      <c r="Q516" s="95"/>
    </row>
    <row r="517">
      <c r="A517" s="98"/>
      <c r="D517" s="95"/>
      <c r="L517" s="50"/>
      <c r="O517" s="98"/>
      <c r="Q517" s="95"/>
    </row>
    <row r="518">
      <c r="A518" s="98"/>
      <c r="D518" s="95"/>
      <c r="L518" s="50"/>
      <c r="O518" s="98"/>
      <c r="Q518" s="95"/>
    </row>
    <row r="519">
      <c r="A519" s="98"/>
      <c r="D519" s="95"/>
      <c r="L519" s="50"/>
      <c r="O519" s="98"/>
      <c r="Q519" s="95"/>
    </row>
    <row r="520">
      <c r="A520" s="98"/>
      <c r="D520" s="95"/>
      <c r="L520" s="50"/>
      <c r="O520" s="98"/>
      <c r="Q520" s="95"/>
    </row>
    <row r="521">
      <c r="A521" s="98"/>
      <c r="D521" s="95"/>
      <c r="L521" s="50"/>
      <c r="O521" s="98"/>
      <c r="Q521" s="95"/>
    </row>
    <row r="522">
      <c r="A522" s="98"/>
      <c r="D522" s="95"/>
      <c r="L522" s="50"/>
      <c r="O522" s="98"/>
      <c r="Q522" s="95"/>
    </row>
    <row r="523">
      <c r="A523" s="98"/>
      <c r="D523" s="95"/>
      <c r="L523" s="50"/>
      <c r="O523" s="98"/>
      <c r="Q523" s="95"/>
    </row>
    <row r="524">
      <c r="A524" s="98"/>
      <c r="D524" s="95"/>
      <c r="L524" s="50"/>
      <c r="O524" s="98"/>
      <c r="Q524" s="95"/>
    </row>
    <row r="525">
      <c r="A525" s="98"/>
      <c r="D525" s="95"/>
      <c r="L525" s="50"/>
      <c r="O525" s="98"/>
      <c r="Q525" s="95"/>
    </row>
    <row r="526">
      <c r="A526" s="98"/>
      <c r="D526" s="95"/>
      <c r="L526" s="50"/>
      <c r="O526" s="98"/>
      <c r="Q526" s="95"/>
    </row>
    <row r="527">
      <c r="A527" s="98"/>
      <c r="D527" s="95"/>
      <c r="L527" s="50"/>
      <c r="O527" s="98"/>
      <c r="Q527" s="95"/>
    </row>
    <row r="528">
      <c r="A528" s="98"/>
      <c r="D528" s="95"/>
      <c r="L528" s="50"/>
      <c r="O528" s="98"/>
      <c r="Q528" s="95"/>
    </row>
    <row r="529">
      <c r="A529" s="98"/>
      <c r="D529" s="95"/>
      <c r="L529" s="50"/>
      <c r="O529" s="98"/>
      <c r="Q529" s="95"/>
    </row>
    <row r="530">
      <c r="A530" s="98"/>
      <c r="D530" s="95"/>
      <c r="L530" s="50"/>
      <c r="O530" s="98"/>
      <c r="Q530" s="95"/>
    </row>
    <row r="531">
      <c r="A531" s="98"/>
      <c r="D531" s="95"/>
      <c r="L531" s="50"/>
      <c r="O531" s="98"/>
      <c r="Q531" s="95"/>
    </row>
    <row r="532">
      <c r="A532" s="98"/>
      <c r="D532" s="95"/>
      <c r="L532" s="50"/>
      <c r="O532" s="98"/>
      <c r="Q532" s="95"/>
    </row>
    <row r="533">
      <c r="A533" s="98"/>
      <c r="D533" s="95"/>
      <c r="L533" s="50"/>
      <c r="O533" s="98"/>
      <c r="Q533" s="95"/>
    </row>
    <row r="534">
      <c r="A534" s="98"/>
      <c r="D534" s="95"/>
      <c r="L534" s="50"/>
      <c r="O534" s="98"/>
      <c r="Q534" s="95"/>
    </row>
    <row r="535">
      <c r="A535" s="98"/>
      <c r="D535" s="95"/>
      <c r="L535" s="50"/>
      <c r="O535" s="98"/>
      <c r="Q535" s="95"/>
    </row>
    <row r="536">
      <c r="A536" s="98"/>
      <c r="D536" s="95"/>
      <c r="L536" s="50"/>
      <c r="O536" s="98"/>
      <c r="Q536" s="95"/>
    </row>
    <row r="537">
      <c r="A537" s="98"/>
      <c r="D537" s="95"/>
      <c r="L537" s="50"/>
      <c r="O537" s="98"/>
      <c r="Q537" s="95"/>
    </row>
    <row r="538">
      <c r="A538" s="98"/>
      <c r="D538" s="95"/>
      <c r="L538" s="50"/>
      <c r="O538" s="98"/>
      <c r="Q538" s="95"/>
    </row>
    <row r="539">
      <c r="A539" s="98"/>
      <c r="D539" s="95"/>
      <c r="L539" s="50"/>
      <c r="O539" s="98"/>
      <c r="Q539" s="95"/>
    </row>
    <row r="540">
      <c r="A540" s="98"/>
      <c r="D540" s="95"/>
      <c r="L540" s="50"/>
      <c r="O540" s="98"/>
      <c r="Q540" s="95"/>
    </row>
    <row r="541">
      <c r="A541" s="98"/>
      <c r="D541" s="95"/>
      <c r="L541" s="50"/>
      <c r="O541" s="98"/>
      <c r="Q541" s="95"/>
    </row>
    <row r="542">
      <c r="A542" s="98"/>
      <c r="D542" s="95"/>
      <c r="L542" s="50"/>
      <c r="O542" s="98"/>
      <c r="Q542" s="95"/>
    </row>
    <row r="543">
      <c r="A543" s="98"/>
      <c r="D543" s="95"/>
      <c r="L543" s="50"/>
      <c r="O543" s="98"/>
      <c r="Q543" s="95"/>
    </row>
    <row r="544">
      <c r="A544" s="98"/>
      <c r="D544" s="95"/>
      <c r="L544" s="50"/>
      <c r="O544" s="98"/>
      <c r="Q544" s="95"/>
    </row>
    <row r="545">
      <c r="A545" s="98"/>
      <c r="D545" s="95"/>
      <c r="L545" s="50"/>
      <c r="O545" s="98"/>
      <c r="Q545" s="95"/>
    </row>
    <row r="546">
      <c r="A546" s="98"/>
      <c r="D546" s="95"/>
      <c r="L546" s="50"/>
      <c r="O546" s="98"/>
      <c r="Q546" s="95"/>
    </row>
    <row r="547">
      <c r="A547" s="98"/>
      <c r="D547" s="95"/>
      <c r="L547" s="50"/>
      <c r="O547" s="98"/>
      <c r="Q547" s="95"/>
    </row>
    <row r="548">
      <c r="A548" s="98"/>
      <c r="D548" s="95"/>
      <c r="L548" s="50"/>
      <c r="O548" s="98"/>
      <c r="Q548" s="95"/>
    </row>
    <row r="549">
      <c r="A549" s="98"/>
      <c r="D549" s="95"/>
      <c r="L549" s="50"/>
      <c r="O549" s="98"/>
      <c r="Q549" s="95"/>
    </row>
    <row r="550">
      <c r="A550" s="98"/>
      <c r="D550" s="95"/>
      <c r="L550" s="50"/>
      <c r="O550" s="98"/>
      <c r="Q550" s="95"/>
    </row>
    <row r="551">
      <c r="A551" s="98"/>
      <c r="D551" s="95"/>
      <c r="L551" s="50"/>
      <c r="O551" s="98"/>
      <c r="Q551" s="95"/>
    </row>
    <row r="552">
      <c r="A552" s="98"/>
      <c r="D552" s="95"/>
      <c r="L552" s="50"/>
      <c r="O552" s="98"/>
      <c r="Q552" s="95"/>
    </row>
    <row r="553">
      <c r="A553" s="98"/>
      <c r="D553" s="95"/>
      <c r="L553" s="50"/>
      <c r="O553" s="98"/>
      <c r="Q553" s="95"/>
    </row>
    <row r="554">
      <c r="A554" s="98"/>
      <c r="D554" s="95"/>
      <c r="L554" s="50"/>
      <c r="O554" s="98"/>
      <c r="Q554" s="95"/>
    </row>
    <row r="555">
      <c r="A555" s="98"/>
      <c r="D555" s="95"/>
      <c r="L555" s="50"/>
      <c r="O555" s="98"/>
      <c r="Q555" s="95"/>
    </row>
    <row r="556">
      <c r="A556" s="98"/>
      <c r="D556" s="95"/>
      <c r="L556" s="50"/>
      <c r="O556" s="98"/>
      <c r="Q556" s="95"/>
    </row>
    <row r="557">
      <c r="A557" s="98"/>
      <c r="D557" s="95"/>
      <c r="L557" s="50"/>
      <c r="O557" s="98"/>
      <c r="Q557" s="95"/>
    </row>
    <row r="558">
      <c r="A558" s="98"/>
      <c r="D558" s="95"/>
      <c r="L558" s="50"/>
      <c r="O558" s="98"/>
      <c r="Q558" s="95"/>
    </row>
    <row r="559">
      <c r="A559" s="98"/>
      <c r="D559" s="95"/>
      <c r="L559" s="50"/>
      <c r="O559" s="98"/>
      <c r="Q559" s="95"/>
    </row>
    <row r="560">
      <c r="A560" s="98"/>
      <c r="D560" s="95"/>
      <c r="L560" s="50"/>
      <c r="O560" s="98"/>
      <c r="Q560" s="95"/>
    </row>
    <row r="561">
      <c r="A561" s="98"/>
      <c r="D561" s="95"/>
      <c r="L561" s="50"/>
      <c r="O561" s="98"/>
      <c r="Q561" s="95"/>
    </row>
    <row r="562">
      <c r="A562" s="98"/>
      <c r="D562" s="95"/>
      <c r="L562" s="50"/>
      <c r="O562" s="98"/>
      <c r="Q562" s="95"/>
    </row>
    <row r="563">
      <c r="A563" s="98"/>
      <c r="D563" s="95"/>
      <c r="L563" s="50"/>
      <c r="O563" s="98"/>
      <c r="Q563" s="95"/>
    </row>
    <row r="564">
      <c r="A564" s="98"/>
      <c r="D564" s="95"/>
      <c r="L564" s="50"/>
      <c r="O564" s="98"/>
      <c r="Q564" s="95"/>
    </row>
    <row r="565">
      <c r="A565" s="98"/>
      <c r="D565" s="95"/>
      <c r="L565" s="50"/>
      <c r="O565" s="98"/>
      <c r="Q565" s="95"/>
    </row>
    <row r="566">
      <c r="A566" s="98"/>
      <c r="D566" s="95"/>
      <c r="L566" s="50"/>
      <c r="O566" s="98"/>
      <c r="Q566" s="95"/>
    </row>
    <row r="567">
      <c r="A567" s="98"/>
      <c r="D567" s="95"/>
      <c r="L567" s="50"/>
      <c r="O567" s="98"/>
      <c r="Q567" s="95"/>
    </row>
    <row r="568">
      <c r="A568" s="98"/>
      <c r="D568" s="95"/>
      <c r="L568" s="50"/>
      <c r="O568" s="98"/>
      <c r="Q568" s="95"/>
    </row>
    <row r="569">
      <c r="A569" s="98"/>
      <c r="D569" s="95"/>
      <c r="L569" s="50"/>
      <c r="O569" s="98"/>
      <c r="Q569" s="95"/>
    </row>
    <row r="570">
      <c r="A570" s="98"/>
      <c r="D570" s="95"/>
      <c r="L570" s="50"/>
      <c r="O570" s="98"/>
      <c r="Q570" s="95"/>
    </row>
    <row r="571">
      <c r="A571" s="98"/>
      <c r="D571" s="95"/>
      <c r="L571" s="50"/>
      <c r="O571" s="98"/>
      <c r="Q571" s="95"/>
    </row>
    <row r="572">
      <c r="A572" s="98"/>
      <c r="D572" s="95"/>
      <c r="L572" s="50"/>
      <c r="O572" s="98"/>
      <c r="Q572" s="95"/>
    </row>
    <row r="573">
      <c r="A573" s="98"/>
      <c r="D573" s="95"/>
      <c r="L573" s="50"/>
      <c r="O573" s="98"/>
      <c r="Q573" s="95"/>
    </row>
    <row r="574">
      <c r="A574" s="98"/>
      <c r="D574" s="95"/>
      <c r="L574" s="50"/>
      <c r="O574" s="98"/>
      <c r="Q574" s="95"/>
    </row>
    <row r="575">
      <c r="A575" s="98"/>
      <c r="D575" s="95"/>
      <c r="L575" s="50"/>
      <c r="O575" s="98"/>
      <c r="Q575" s="95"/>
    </row>
    <row r="576">
      <c r="A576" s="98"/>
      <c r="D576" s="95"/>
      <c r="L576" s="50"/>
      <c r="O576" s="98"/>
      <c r="Q576" s="95"/>
    </row>
    <row r="577">
      <c r="A577" s="98"/>
      <c r="D577" s="95"/>
      <c r="L577" s="50"/>
      <c r="O577" s="98"/>
      <c r="Q577" s="95"/>
    </row>
    <row r="578">
      <c r="A578" s="98"/>
      <c r="D578" s="95"/>
      <c r="L578" s="50"/>
      <c r="O578" s="98"/>
      <c r="Q578" s="95"/>
    </row>
    <row r="579">
      <c r="A579" s="98"/>
      <c r="D579" s="95"/>
      <c r="L579" s="50"/>
      <c r="O579" s="98"/>
      <c r="Q579" s="95"/>
    </row>
    <row r="580">
      <c r="A580" s="98"/>
      <c r="D580" s="95"/>
      <c r="L580" s="50"/>
      <c r="O580" s="98"/>
      <c r="Q580" s="95"/>
    </row>
    <row r="581">
      <c r="A581" s="98"/>
      <c r="D581" s="95"/>
      <c r="L581" s="50"/>
      <c r="O581" s="98"/>
      <c r="Q581" s="95"/>
    </row>
    <row r="582">
      <c r="A582" s="98"/>
      <c r="D582" s="95"/>
      <c r="L582" s="50"/>
      <c r="O582" s="98"/>
      <c r="Q582" s="95"/>
    </row>
    <row r="583">
      <c r="A583" s="98"/>
      <c r="D583" s="95"/>
      <c r="L583" s="50"/>
      <c r="O583" s="98"/>
      <c r="Q583" s="95"/>
    </row>
    <row r="584">
      <c r="A584" s="98"/>
      <c r="D584" s="95"/>
      <c r="L584" s="50"/>
      <c r="O584" s="98"/>
      <c r="Q584" s="95"/>
    </row>
    <row r="585">
      <c r="A585" s="98"/>
      <c r="D585" s="95"/>
      <c r="L585" s="50"/>
      <c r="O585" s="98"/>
      <c r="Q585" s="95"/>
    </row>
    <row r="586">
      <c r="A586" s="98"/>
      <c r="D586" s="95"/>
      <c r="L586" s="50"/>
      <c r="O586" s="98"/>
      <c r="Q586" s="95"/>
    </row>
    <row r="587">
      <c r="A587" s="98"/>
      <c r="D587" s="95"/>
      <c r="L587" s="50"/>
      <c r="O587" s="98"/>
      <c r="Q587" s="95"/>
    </row>
    <row r="588">
      <c r="A588" s="98"/>
      <c r="D588" s="95"/>
      <c r="L588" s="50"/>
      <c r="O588" s="98"/>
      <c r="Q588" s="95"/>
    </row>
    <row r="589">
      <c r="A589" s="98"/>
      <c r="D589" s="95"/>
      <c r="L589" s="50"/>
      <c r="O589" s="98"/>
      <c r="Q589" s="95"/>
    </row>
    <row r="590">
      <c r="A590" s="98"/>
      <c r="D590" s="95"/>
      <c r="L590" s="50"/>
      <c r="O590" s="98"/>
      <c r="Q590" s="95"/>
    </row>
    <row r="591">
      <c r="A591" s="98"/>
      <c r="D591" s="95"/>
      <c r="L591" s="50"/>
      <c r="O591" s="98"/>
      <c r="Q591" s="95"/>
    </row>
    <row r="592">
      <c r="A592" s="98"/>
      <c r="D592" s="95"/>
      <c r="L592" s="50"/>
      <c r="O592" s="98"/>
      <c r="Q592" s="95"/>
    </row>
    <row r="593">
      <c r="A593" s="98"/>
      <c r="D593" s="95"/>
      <c r="L593" s="50"/>
      <c r="O593" s="98"/>
      <c r="Q593" s="95"/>
    </row>
    <row r="594">
      <c r="A594" s="98"/>
      <c r="D594" s="95"/>
      <c r="L594" s="50"/>
      <c r="O594" s="98"/>
      <c r="Q594" s="95"/>
    </row>
    <row r="595">
      <c r="A595" s="98"/>
      <c r="D595" s="95"/>
      <c r="L595" s="50"/>
      <c r="O595" s="98"/>
      <c r="Q595" s="95"/>
    </row>
    <row r="596">
      <c r="A596" s="98"/>
      <c r="D596" s="95"/>
      <c r="L596" s="50"/>
      <c r="O596" s="98"/>
      <c r="Q596" s="95"/>
    </row>
    <row r="597">
      <c r="A597" s="98"/>
      <c r="D597" s="95"/>
      <c r="L597" s="50"/>
      <c r="O597" s="98"/>
      <c r="Q597" s="95"/>
    </row>
    <row r="598">
      <c r="A598" s="98"/>
      <c r="D598" s="95"/>
      <c r="L598" s="50"/>
      <c r="O598" s="98"/>
      <c r="Q598" s="95"/>
    </row>
    <row r="599">
      <c r="A599" s="98"/>
      <c r="D599" s="95"/>
      <c r="L599" s="50"/>
      <c r="O599" s="98"/>
      <c r="Q599" s="95"/>
    </row>
    <row r="600">
      <c r="A600" s="98"/>
      <c r="D600" s="95"/>
      <c r="L600" s="50"/>
      <c r="O600" s="98"/>
      <c r="Q600" s="95"/>
    </row>
    <row r="601">
      <c r="A601" s="98"/>
      <c r="D601" s="95"/>
      <c r="L601" s="50"/>
      <c r="O601" s="98"/>
      <c r="Q601" s="95"/>
    </row>
    <row r="602">
      <c r="A602" s="98"/>
      <c r="D602" s="95"/>
      <c r="L602" s="50"/>
      <c r="O602" s="98"/>
      <c r="Q602" s="95"/>
    </row>
    <row r="603">
      <c r="A603" s="98"/>
      <c r="D603" s="95"/>
      <c r="L603" s="50"/>
      <c r="O603" s="98"/>
      <c r="Q603" s="95"/>
    </row>
    <row r="604">
      <c r="A604" s="98"/>
      <c r="D604" s="95"/>
      <c r="L604" s="50"/>
      <c r="O604" s="98"/>
      <c r="Q604" s="95"/>
    </row>
    <row r="605">
      <c r="A605" s="98"/>
      <c r="D605" s="95"/>
      <c r="L605" s="50"/>
      <c r="O605" s="98"/>
      <c r="Q605" s="95"/>
    </row>
    <row r="606">
      <c r="A606" s="98"/>
      <c r="D606" s="95"/>
      <c r="L606" s="50"/>
      <c r="O606" s="98"/>
      <c r="Q606" s="95"/>
    </row>
    <row r="607">
      <c r="A607" s="98"/>
      <c r="D607" s="95"/>
      <c r="L607" s="50"/>
      <c r="O607" s="98"/>
      <c r="Q607" s="95"/>
    </row>
    <row r="608">
      <c r="A608" s="98"/>
      <c r="D608" s="95"/>
      <c r="L608" s="50"/>
      <c r="O608" s="98"/>
      <c r="Q608" s="95"/>
    </row>
    <row r="609">
      <c r="A609" s="98"/>
      <c r="D609" s="95"/>
      <c r="L609" s="50"/>
      <c r="O609" s="98"/>
      <c r="Q609" s="95"/>
    </row>
    <row r="610">
      <c r="A610" s="98"/>
      <c r="D610" s="95"/>
      <c r="L610" s="50"/>
      <c r="O610" s="98"/>
      <c r="Q610" s="95"/>
    </row>
    <row r="611">
      <c r="A611" s="98"/>
      <c r="D611" s="95"/>
      <c r="L611" s="50"/>
      <c r="O611" s="98"/>
      <c r="Q611" s="95"/>
    </row>
    <row r="612">
      <c r="A612" s="98"/>
      <c r="D612" s="95"/>
      <c r="L612" s="50"/>
      <c r="O612" s="98"/>
      <c r="Q612" s="95"/>
    </row>
    <row r="613">
      <c r="A613" s="98"/>
      <c r="D613" s="95"/>
      <c r="L613" s="50"/>
      <c r="O613" s="98"/>
      <c r="Q613" s="95"/>
    </row>
    <row r="614">
      <c r="A614" s="98"/>
      <c r="D614" s="95"/>
      <c r="L614" s="50"/>
      <c r="O614" s="98"/>
      <c r="Q614" s="95"/>
    </row>
    <row r="615">
      <c r="A615" s="98"/>
      <c r="D615" s="95"/>
      <c r="L615" s="50"/>
      <c r="O615" s="98"/>
      <c r="Q615" s="95"/>
    </row>
    <row r="616">
      <c r="A616" s="98"/>
      <c r="D616" s="95"/>
      <c r="L616" s="50"/>
      <c r="O616" s="98"/>
      <c r="Q616" s="95"/>
    </row>
    <row r="617">
      <c r="A617" s="98"/>
      <c r="D617" s="95"/>
      <c r="L617" s="50"/>
      <c r="O617" s="98"/>
      <c r="Q617" s="95"/>
    </row>
    <row r="618">
      <c r="A618" s="98"/>
      <c r="D618" s="95"/>
      <c r="L618" s="50"/>
      <c r="O618" s="98"/>
      <c r="Q618" s="95"/>
    </row>
    <row r="619">
      <c r="A619" s="98"/>
      <c r="D619" s="95"/>
      <c r="L619" s="50"/>
      <c r="O619" s="98"/>
      <c r="Q619" s="95"/>
    </row>
    <row r="620">
      <c r="A620" s="98"/>
      <c r="D620" s="95"/>
      <c r="L620" s="50"/>
      <c r="O620" s="98"/>
      <c r="Q620" s="95"/>
    </row>
    <row r="621">
      <c r="A621" s="98"/>
      <c r="D621" s="95"/>
      <c r="L621" s="50"/>
      <c r="O621" s="98"/>
      <c r="Q621" s="95"/>
    </row>
    <row r="622">
      <c r="A622" s="98"/>
      <c r="D622" s="95"/>
      <c r="L622" s="50"/>
      <c r="O622" s="98"/>
      <c r="Q622" s="95"/>
    </row>
    <row r="623">
      <c r="A623" s="98"/>
      <c r="D623" s="95"/>
      <c r="L623" s="50"/>
      <c r="O623" s="98"/>
      <c r="Q623" s="95"/>
    </row>
    <row r="624">
      <c r="A624" s="98"/>
      <c r="D624" s="95"/>
      <c r="L624" s="50"/>
      <c r="O624" s="98"/>
      <c r="Q624" s="95"/>
    </row>
    <row r="625">
      <c r="A625" s="98"/>
      <c r="D625" s="95"/>
      <c r="L625" s="50"/>
      <c r="O625" s="98"/>
      <c r="Q625" s="95"/>
    </row>
    <row r="626">
      <c r="A626" s="98"/>
      <c r="D626" s="95"/>
      <c r="L626" s="50"/>
      <c r="O626" s="98"/>
      <c r="Q626" s="95"/>
    </row>
    <row r="627">
      <c r="A627" s="98"/>
      <c r="D627" s="95"/>
      <c r="L627" s="50"/>
      <c r="O627" s="98"/>
      <c r="Q627" s="95"/>
    </row>
    <row r="628">
      <c r="A628" s="98"/>
      <c r="D628" s="95"/>
      <c r="L628" s="50"/>
      <c r="O628" s="98"/>
      <c r="Q628" s="95"/>
    </row>
    <row r="629">
      <c r="A629" s="98"/>
      <c r="D629" s="95"/>
      <c r="L629" s="50"/>
      <c r="O629" s="98"/>
      <c r="Q629" s="95"/>
    </row>
    <row r="630">
      <c r="A630" s="98"/>
      <c r="D630" s="95"/>
      <c r="L630" s="50"/>
      <c r="O630" s="98"/>
      <c r="Q630" s="95"/>
    </row>
    <row r="631">
      <c r="A631" s="98"/>
      <c r="D631" s="95"/>
      <c r="L631" s="50"/>
      <c r="O631" s="98"/>
      <c r="Q631" s="95"/>
    </row>
    <row r="632">
      <c r="A632" s="98"/>
      <c r="D632" s="95"/>
      <c r="L632" s="50"/>
      <c r="O632" s="98"/>
      <c r="Q632" s="95"/>
    </row>
    <row r="633">
      <c r="A633" s="98"/>
      <c r="D633" s="95"/>
      <c r="L633" s="50"/>
      <c r="O633" s="98"/>
      <c r="Q633" s="95"/>
    </row>
    <row r="634">
      <c r="A634" s="98"/>
      <c r="D634" s="95"/>
      <c r="L634" s="50"/>
      <c r="O634" s="98"/>
      <c r="Q634" s="95"/>
    </row>
    <row r="635">
      <c r="A635" s="98"/>
      <c r="D635" s="95"/>
      <c r="L635" s="50"/>
      <c r="O635" s="98"/>
      <c r="Q635" s="95"/>
    </row>
    <row r="636">
      <c r="A636" s="98"/>
      <c r="D636" s="95"/>
      <c r="L636" s="50"/>
      <c r="O636" s="98"/>
      <c r="Q636" s="95"/>
    </row>
    <row r="637">
      <c r="A637" s="98"/>
      <c r="D637" s="95"/>
      <c r="L637" s="50"/>
      <c r="O637" s="98"/>
      <c r="Q637" s="95"/>
    </row>
    <row r="638">
      <c r="A638" s="98"/>
      <c r="D638" s="95"/>
      <c r="L638" s="50"/>
      <c r="O638" s="98"/>
      <c r="Q638" s="95"/>
    </row>
    <row r="639">
      <c r="A639" s="98"/>
      <c r="D639" s="95"/>
      <c r="L639" s="50"/>
      <c r="O639" s="98"/>
      <c r="Q639" s="95"/>
    </row>
    <row r="640">
      <c r="A640" s="98"/>
      <c r="D640" s="95"/>
      <c r="L640" s="50"/>
      <c r="O640" s="98"/>
      <c r="Q640" s="95"/>
    </row>
    <row r="641">
      <c r="A641" s="98"/>
      <c r="D641" s="95"/>
      <c r="L641" s="50"/>
      <c r="O641" s="98"/>
      <c r="Q641" s="95"/>
    </row>
    <row r="642">
      <c r="A642" s="98"/>
      <c r="D642" s="95"/>
      <c r="L642" s="50"/>
      <c r="O642" s="98"/>
      <c r="Q642" s="95"/>
    </row>
    <row r="643">
      <c r="A643" s="98"/>
      <c r="D643" s="95"/>
      <c r="L643" s="50"/>
      <c r="O643" s="98"/>
      <c r="Q643" s="95"/>
    </row>
    <row r="644">
      <c r="A644" s="98"/>
      <c r="D644" s="95"/>
      <c r="L644" s="50"/>
      <c r="O644" s="98"/>
      <c r="Q644" s="95"/>
    </row>
    <row r="645">
      <c r="A645" s="98"/>
      <c r="D645" s="95"/>
      <c r="L645" s="50"/>
      <c r="O645" s="98"/>
      <c r="Q645" s="95"/>
    </row>
    <row r="646">
      <c r="A646" s="98"/>
      <c r="D646" s="95"/>
      <c r="L646" s="50"/>
      <c r="O646" s="98"/>
      <c r="Q646" s="95"/>
    </row>
    <row r="647">
      <c r="A647" s="98"/>
      <c r="D647" s="95"/>
      <c r="L647" s="50"/>
      <c r="O647" s="98"/>
      <c r="Q647" s="95"/>
    </row>
    <row r="648">
      <c r="A648" s="98"/>
      <c r="D648" s="95"/>
      <c r="L648" s="50"/>
      <c r="O648" s="98"/>
      <c r="Q648" s="95"/>
    </row>
    <row r="649">
      <c r="A649" s="98"/>
      <c r="D649" s="95"/>
      <c r="L649" s="50"/>
      <c r="O649" s="98"/>
      <c r="Q649" s="95"/>
    </row>
    <row r="650">
      <c r="A650" s="98"/>
      <c r="D650" s="95"/>
      <c r="L650" s="50"/>
      <c r="O650" s="98"/>
      <c r="Q650" s="95"/>
    </row>
    <row r="651">
      <c r="A651" s="98"/>
      <c r="D651" s="95"/>
      <c r="L651" s="50"/>
      <c r="O651" s="98"/>
      <c r="Q651" s="95"/>
    </row>
    <row r="652">
      <c r="A652" s="98"/>
      <c r="D652" s="95"/>
      <c r="L652" s="50"/>
      <c r="O652" s="98"/>
      <c r="Q652" s="95"/>
    </row>
    <row r="653">
      <c r="A653" s="98"/>
      <c r="D653" s="95"/>
      <c r="L653" s="50"/>
      <c r="O653" s="98"/>
      <c r="Q653" s="95"/>
    </row>
    <row r="654">
      <c r="A654" s="98"/>
      <c r="D654" s="95"/>
      <c r="L654" s="50"/>
      <c r="O654" s="98"/>
      <c r="Q654" s="95"/>
    </row>
    <row r="655">
      <c r="A655" s="98"/>
      <c r="D655" s="95"/>
      <c r="L655" s="50"/>
      <c r="O655" s="98"/>
      <c r="Q655" s="95"/>
    </row>
    <row r="656">
      <c r="A656" s="98"/>
      <c r="D656" s="95"/>
      <c r="L656" s="50"/>
      <c r="O656" s="98"/>
      <c r="Q656" s="95"/>
    </row>
    <row r="657">
      <c r="A657" s="98"/>
      <c r="D657" s="95"/>
      <c r="L657" s="50"/>
      <c r="O657" s="98"/>
      <c r="Q657" s="95"/>
    </row>
    <row r="658">
      <c r="A658" s="98"/>
      <c r="D658" s="95"/>
      <c r="L658" s="50"/>
      <c r="O658" s="98"/>
      <c r="Q658" s="95"/>
    </row>
    <row r="659">
      <c r="A659" s="98"/>
      <c r="D659" s="95"/>
      <c r="L659" s="50"/>
      <c r="O659" s="98"/>
      <c r="Q659" s="95"/>
    </row>
    <row r="660">
      <c r="A660" s="98"/>
      <c r="D660" s="95"/>
      <c r="L660" s="50"/>
      <c r="O660" s="98"/>
      <c r="Q660" s="95"/>
    </row>
    <row r="661">
      <c r="A661" s="98"/>
      <c r="D661" s="95"/>
      <c r="L661" s="50"/>
      <c r="O661" s="98"/>
      <c r="Q661" s="95"/>
    </row>
    <row r="662">
      <c r="A662" s="98"/>
      <c r="D662" s="95"/>
      <c r="L662" s="50"/>
      <c r="O662" s="98"/>
      <c r="Q662" s="95"/>
    </row>
    <row r="663">
      <c r="A663" s="98"/>
      <c r="D663" s="95"/>
      <c r="L663" s="50"/>
      <c r="O663" s="98"/>
      <c r="Q663" s="95"/>
    </row>
    <row r="664">
      <c r="A664" s="98"/>
      <c r="D664" s="95"/>
      <c r="L664" s="50"/>
      <c r="O664" s="98"/>
      <c r="Q664" s="95"/>
    </row>
    <row r="665">
      <c r="A665" s="98"/>
      <c r="D665" s="95"/>
      <c r="L665" s="50"/>
      <c r="O665" s="98"/>
      <c r="Q665" s="95"/>
    </row>
    <row r="666">
      <c r="A666" s="98"/>
      <c r="D666" s="95"/>
      <c r="L666" s="50"/>
      <c r="O666" s="98"/>
      <c r="Q666" s="95"/>
    </row>
    <row r="667">
      <c r="A667" s="98"/>
      <c r="D667" s="95"/>
      <c r="L667" s="50"/>
      <c r="O667" s="98"/>
      <c r="Q667" s="95"/>
    </row>
    <row r="668">
      <c r="A668" s="98"/>
      <c r="D668" s="95"/>
      <c r="L668" s="50"/>
      <c r="O668" s="98"/>
      <c r="Q668" s="95"/>
    </row>
    <row r="669">
      <c r="A669" s="98"/>
      <c r="D669" s="95"/>
      <c r="L669" s="50"/>
      <c r="O669" s="98"/>
      <c r="Q669" s="95"/>
    </row>
    <row r="670">
      <c r="A670" s="98"/>
      <c r="D670" s="95"/>
      <c r="L670" s="50"/>
      <c r="O670" s="98"/>
      <c r="Q670" s="95"/>
    </row>
    <row r="671">
      <c r="A671" s="98"/>
      <c r="D671" s="95"/>
      <c r="L671" s="50"/>
      <c r="O671" s="98"/>
      <c r="Q671" s="95"/>
    </row>
    <row r="672">
      <c r="A672" s="98"/>
      <c r="D672" s="95"/>
      <c r="L672" s="50"/>
      <c r="O672" s="98"/>
      <c r="Q672" s="95"/>
    </row>
    <row r="673">
      <c r="A673" s="98"/>
      <c r="D673" s="95"/>
      <c r="L673" s="50"/>
      <c r="O673" s="98"/>
      <c r="Q673" s="95"/>
    </row>
    <row r="674">
      <c r="A674" s="98"/>
      <c r="D674" s="95"/>
      <c r="L674" s="50"/>
      <c r="O674" s="98"/>
      <c r="Q674" s="95"/>
    </row>
    <row r="675">
      <c r="A675" s="98"/>
      <c r="D675" s="95"/>
      <c r="L675" s="50"/>
      <c r="O675" s="98"/>
      <c r="Q675" s="95"/>
    </row>
    <row r="676">
      <c r="A676" s="98"/>
      <c r="D676" s="95"/>
      <c r="L676" s="50"/>
      <c r="O676" s="98"/>
      <c r="Q676" s="95"/>
    </row>
    <row r="677">
      <c r="A677" s="98"/>
      <c r="D677" s="95"/>
      <c r="L677" s="50"/>
      <c r="O677" s="98"/>
      <c r="Q677" s="95"/>
    </row>
    <row r="678">
      <c r="A678" s="98"/>
      <c r="D678" s="95"/>
      <c r="L678" s="50"/>
      <c r="O678" s="98"/>
      <c r="Q678" s="95"/>
    </row>
    <row r="679">
      <c r="A679" s="98"/>
      <c r="D679" s="95"/>
      <c r="L679" s="50"/>
      <c r="O679" s="98"/>
      <c r="Q679" s="95"/>
    </row>
    <row r="680">
      <c r="A680" s="98"/>
      <c r="D680" s="95"/>
      <c r="L680" s="50"/>
      <c r="O680" s="98"/>
      <c r="Q680" s="95"/>
    </row>
    <row r="681">
      <c r="A681" s="98"/>
      <c r="D681" s="95"/>
      <c r="L681" s="50"/>
      <c r="O681" s="98"/>
      <c r="Q681" s="95"/>
    </row>
    <row r="682">
      <c r="A682" s="98"/>
      <c r="D682" s="95"/>
      <c r="L682" s="50"/>
      <c r="O682" s="98"/>
      <c r="Q682" s="95"/>
    </row>
    <row r="683">
      <c r="A683" s="98"/>
      <c r="D683" s="95"/>
      <c r="L683" s="50"/>
      <c r="O683" s="98"/>
      <c r="Q683" s="95"/>
    </row>
    <row r="684">
      <c r="A684" s="98"/>
      <c r="D684" s="95"/>
      <c r="L684" s="50"/>
      <c r="O684" s="98"/>
      <c r="Q684" s="95"/>
    </row>
    <row r="685">
      <c r="A685" s="98"/>
      <c r="D685" s="95"/>
      <c r="L685" s="50"/>
      <c r="O685" s="98"/>
      <c r="Q685" s="95"/>
    </row>
    <row r="686">
      <c r="A686" s="98"/>
      <c r="D686" s="95"/>
      <c r="L686" s="50"/>
      <c r="O686" s="98"/>
      <c r="Q686" s="95"/>
    </row>
    <row r="687">
      <c r="A687" s="98"/>
      <c r="D687" s="95"/>
      <c r="L687" s="50"/>
      <c r="O687" s="98"/>
      <c r="Q687" s="95"/>
    </row>
    <row r="688">
      <c r="A688" s="98"/>
      <c r="D688" s="95"/>
      <c r="L688" s="50"/>
      <c r="O688" s="98"/>
      <c r="Q688" s="95"/>
    </row>
    <row r="689">
      <c r="A689" s="98"/>
      <c r="D689" s="95"/>
      <c r="L689" s="50"/>
      <c r="O689" s="98"/>
      <c r="Q689" s="95"/>
    </row>
    <row r="690">
      <c r="A690" s="98"/>
      <c r="D690" s="95"/>
      <c r="L690" s="50"/>
      <c r="O690" s="98"/>
      <c r="Q690" s="95"/>
    </row>
    <row r="691">
      <c r="A691" s="98"/>
      <c r="D691" s="95"/>
      <c r="L691" s="50"/>
      <c r="O691" s="98"/>
      <c r="Q691" s="95"/>
    </row>
    <row r="692">
      <c r="A692" s="98"/>
      <c r="D692" s="95"/>
      <c r="L692" s="50"/>
      <c r="O692" s="98"/>
      <c r="Q692" s="95"/>
    </row>
    <row r="693">
      <c r="A693" s="98"/>
      <c r="D693" s="95"/>
      <c r="L693" s="50"/>
      <c r="O693" s="98"/>
      <c r="Q693" s="95"/>
    </row>
    <row r="694">
      <c r="A694" s="98"/>
      <c r="D694" s="95"/>
      <c r="L694" s="50"/>
      <c r="O694" s="98"/>
      <c r="Q694" s="95"/>
    </row>
    <row r="695">
      <c r="A695" s="98"/>
      <c r="D695" s="95"/>
      <c r="L695" s="50"/>
      <c r="O695" s="98"/>
      <c r="Q695" s="95"/>
    </row>
    <row r="696">
      <c r="A696" s="98"/>
      <c r="D696" s="95"/>
      <c r="L696" s="50"/>
      <c r="O696" s="98"/>
      <c r="Q696" s="95"/>
    </row>
    <row r="697">
      <c r="A697" s="98"/>
      <c r="D697" s="95"/>
      <c r="L697" s="50"/>
      <c r="O697" s="98"/>
      <c r="Q697" s="95"/>
    </row>
    <row r="698">
      <c r="A698" s="98"/>
      <c r="D698" s="95"/>
      <c r="L698" s="50"/>
      <c r="O698" s="98"/>
      <c r="Q698" s="95"/>
    </row>
    <row r="699">
      <c r="A699" s="98"/>
      <c r="D699" s="95"/>
      <c r="L699" s="50"/>
      <c r="O699" s="98"/>
      <c r="Q699" s="95"/>
    </row>
    <row r="700">
      <c r="A700" s="98"/>
      <c r="D700" s="95"/>
      <c r="L700" s="50"/>
      <c r="O700" s="98"/>
      <c r="Q700" s="95"/>
    </row>
    <row r="701">
      <c r="A701" s="98"/>
      <c r="D701" s="95"/>
      <c r="L701" s="50"/>
      <c r="O701" s="98"/>
      <c r="Q701" s="95"/>
    </row>
    <row r="702">
      <c r="A702" s="98"/>
      <c r="D702" s="95"/>
      <c r="L702" s="50"/>
      <c r="O702" s="98"/>
      <c r="Q702" s="95"/>
    </row>
    <row r="703">
      <c r="A703" s="98"/>
      <c r="D703" s="95"/>
      <c r="L703" s="50"/>
      <c r="O703" s="98"/>
      <c r="Q703" s="95"/>
    </row>
    <row r="704">
      <c r="A704" s="98"/>
      <c r="D704" s="95"/>
      <c r="L704" s="50"/>
      <c r="O704" s="98"/>
      <c r="Q704" s="95"/>
    </row>
    <row r="705">
      <c r="A705" s="98"/>
      <c r="D705" s="95"/>
      <c r="L705" s="50"/>
      <c r="O705" s="98"/>
      <c r="Q705" s="95"/>
    </row>
    <row r="706">
      <c r="A706" s="98"/>
      <c r="D706" s="95"/>
      <c r="L706" s="50"/>
      <c r="O706" s="98"/>
      <c r="Q706" s="95"/>
    </row>
    <row r="707">
      <c r="A707" s="98"/>
      <c r="D707" s="95"/>
      <c r="L707" s="50"/>
      <c r="O707" s="98"/>
      <c r="Q707" s="95"/>
    </row>
    <row r="708">
      <c r="A708" s="98"/>
      <c r="D708" s="95"/>
      <c r="L708" s="50"/>
      <c r="O708" s="98"/>
      <c r="Q708" s="95"/>
    </row>
    <row r="709">
      <c r="A709" s="98"/>
      <c r="D709" s="95"/>
      <c r="L709" s="50"/>
      <c r="O709" s="98"/>
      <c r="Q709" s="95"/>
    </row>
    <row r="710">
      <c r="A710" s="98"/>
      <c r="D710" s="95"/>
      <c r="L710" s="50"/>
      <c r="O710" s="98"/>
      <c r="Q710" s="95"/>
    </row>
    <row r="711">
      <c r="A711" s="98"/>
      <c r="D711" s="95"/>
      <c r="L711" s="50"/>
      <c r="O711" s="98"/>
      <c r="Q711" s="95"/>
    </row>
    <row r="712">
      <c r="A712" s="98"/>
      <c r="D712" s="95"/>
      <c r="L712" s="50"/>
      <c r="O712" s="98"/>
      <c r="Q712" s="95"/>
    </row>
    <row r="713">
      <c r="A713" s="98"/>
      <c r="D713" s="95"/>
      <c r="L713" s="50"/>
      <c r="O713" s="98"/>
      <c r="Q713" s="95"/>
    </row>
    <row r="714">
      <c r="A714" s="98"/>
      <c r="D714" s="95"/>
      <c r="L714" s="50"/>
      <c r="O714" s="98"/>
      <c r="Q714" s="95"/>
    </row>
    <row r="715">
      <c r="A715" s="98"/>
      <c r="D715" s="95"/>
      <c r="L715" s="50"/>
      <c r="O715" s="98"/>
      <c r="Q715" s="95"/>
    </row>
    <row r="716">
      <c r="A716" s="98"/>
      <c r="D716" s="95"/>
      <c r="L716" s="50"/>
      <c r="O716" s="98"/>
      <c r="Q716" s="95"/>
    </row>
    <row r="717">
      <c r="A717" s="98"/>
      <c r="D717" s="95"/>
      <c r="L717" s="50"/>
      <c r="O717" s="98"/>
      <c r="Q717" s="95"/>
    </row>
    <row r="718">
      <c r="A718" s="98"/>
      <c r="D718" s="95"/>
      <c r="L718" s="50"/>
      <c r="O718" s="98"/>
      <c r="Q718" s="95"/>
    </row>
    <row r="719">
      <c r="A719" s="98"/>
      <c r="D719" s="95"/>
      <c r="L719" s="50"/>
      <c r="O719" s="98"/>
      <c r="Q719" s="95"/>
    </row>
    <row r="720">
      <c r="A720" s="98"/>
      <c r="D720" s="95"/>
      <c r="L720" s="50"/>
      <c r="O720" s="98"/>
      <c r="Q720" s="95"/>
    </row>
    <row r="721">
      <c r="A721" s="98"/>
      <c r="D721" s="95"/>
      <c r="L721" s="50"/>
      <c r="O721" s="98"/>
      <c r="Q721" s="95"/>
    </row>
    <row r="722">
      <c r="A722" s="98"/>
      <c r="D722" s="95"/>
      <c r="L722" s="50"/>
      <c r="O722" s="98"/>
      <c r="Q722" s="95"/>
    </row>
    <row r="723">
      <c r="A723" s="98"/>
      <c r="D723" s="95"/>
      <c r="L723" s="50"/>
      <c r="O723" s="98"/>
      <c r="Q723" s="95"/>
    </row>
    <row r="724">
      <c r="A724" s="98"/>
      <c r="D724" s="95"/>
      <c r="L724" s="50"/>
      <c r="O724" s="98"/>
      <c r="Q724" s="95"/>
    </row>
    <row r="725">
      <c r="A725" s="98"/>
      <c r="D725" s="95"/>
      <c r="L725" s="50"/>
      <c r="O725" s="98"/>
      <c r="Q725" s="95"/>
    </row>
    <row r="726">
      <c r="A726" s="98"/>
      <c r="D726" s="95"/>
      <c r="L726" s="50"/>
      <c r="O726" s="98"/>
      <c r="Q726" s="95"/>
    </row>
    <row r="727">
      <c r="A727" s="98"/>
      <c r="D727" s="95"/>
      <c r="L727" s="50"/>
      <c r="O727" s="98"/>
      <c r="Q727" s="95"/>
    </row>
    <row r="728">
      <c r="A728" s="98"/>
      <c r="D728" s="95"/>
      <c r="L728" s="50"/>
      <c r="O728" s="98"/>
      <c r="Q728" s="95"/>
    </row>
    <row r="729">
      <c r="A729" s="98"/>
      <c r="D729" s="95"/>
      <c r="L729" s="50"/>
      <c r="O729" s="98"/>
      <c r="Q729" s="95"/>
    </row>
    <row r="730">
      <c r="A730" s="98"/>
      <c r="D730" s="95"/>
      <c r="L730" s="50"/>
      <c r="O730" s="98"/>
      <c r="Q730" s="95"/>
    </row>
    <row r="731">
      <c r="A731" s="98"/>
      <c r="D731" s="95"/>
      <c r="L731" s="50"/>
      <c r="O731" s="98"/>
      <c r="Q731" s="95"/>
    </row>
    <row r="732">
      <c r="A732" s="98"/>
      <c r="D732" s="95"/>
      <c r="L732" s="50"/>
      <c r="O732" s="98"/>
      <c r="Q732" s="95"/>
    </row>
    <row r="733">
      <c r="A733" s="98"/>
      <c r="D733" s="95"/>
      <c r="L733" s="50"/>
      <c r="O733" s="98"/>
      <c r="Q733" s="95"/>
    </row>
    <row r="734">
      <c r="A734" s="98"/>
      <c r="D734" s="95"/>
      <c r="L734" s="50"/>
      <c r="O734" s="98"/>
      <c r="Q734" s="95"/>
    </row>
    <row r="735">
      <c r="A735" s="98"/>
      <c r="D735" s="95"/>
      <c r="L735" s="50"/>
      <c r="O735" s="98"/>
      <c r="Q735" s="95"/>
    </row>
    <row r="736">
      <c r="A736" s="98"/>
      <c r="D736" s="95"/>
      <c r="L736" s="50"/>
      <c r="O736" s="98"/>
      <c r="Q736" s="95"/>
    </row>
    <row r="737">
      <c r="A737" s="98"/>
      <c r="D737" s="95"/>
      <c r="L737" s="50"/>
      <c r="O737" s="98"/>
      <c r="Q737" s="95"/>
    </row>
    <row r="738">
      <c r="A738" s="98"/>
      <c r="D738" s="95"/>
      <c r="L738" s="50"/>
      <c r="O738" s="98"/>
      <c r="Q738" s="95"/>
    </row>
    <row r="739">
      <c r="A739" s="98"/>
      <c r="D739" s="95"/>
      <c r="L739" s="50"/>
      <c r="O739" s="98"/>
      <c r="Q739" s="95"/>
    </row>
    <row r="740">
      <c r="A740" s="98"/>
      <c r="D740" s="95"/>
      <c r="L740" s="50"/>
      <c r="O740" s="98"/>
      <c r="Q740" s="95"/>
    </row>
    <row r="741">
      <c r="A741" s="98"/>
      <c r="D741" s="95"/>
      <c r="L741" s="50"/>
      <c r="O741" s="98"/>
      <c r="Q741" s="95"/>
    </row>
    <row r="742">
      <c r="A742" s="98"/>
      <c r="D742" s="95"/>
      <c r="L742" s="50"/>
      <c r="O742" s="98"/>
      <c r="Q742" s="95"/>
    </row>
    <row r="743">
      <c r="A743" s="98"/>
      <c r="D743" s="95"/>
      <c r="L743" s="50"/>
      <c r="O743" s="98"/>
      <c r="Q743" s="95"/>
    </row>
    <row r="744">
      <c r="A744" s="98"/>
      <c r="D744" s="95"/>
      <c r="L744" s="50"/>
      <c r="O744" s="98"/>
      <c r="Q744" s="95"/>
    </row>
    <row r="745">
      <c r="A745" s="98"/>
      <c r="D745" s="95"/>
      <c r="L745" s="50"/>
      <c r="O745" s="98"/>
      <c r="Q745" s="95"/>
    </row>
    <row r="746">
      <c r="A746" s="98"/>
      <c r="D746" s="95"/>
      <c r="L746" s="50"/>
      <c r="O746" s="98"/>
      <c r="Q746" s="95"/>
    </row>
    <row r="747">
      <c r="A747" s="98"/>
      <c r="D747" s="95"/>
      <c r="L747" s="50"/>
      <c r="O747" s="98"/>
      <c r="Q747" s="95"/>
    </row>
    <row r="748">
      <c r="A748" s="98"/>
      <c r="D748" s="95"/>
      <c r="L748" s="50"/>
      <c r="O748" s="98"/>
      <c r="Q748" s="95"/>
    </row>
    <row r="749">
      <c r="A749" s="98"/>
      <c r="D749" s="95"/>
      <c r="L749" s="50"/>
      <c r="O749" s="98"/>
      <c r="Q749" s="95"/>
    </row>
    <row r="750">
      <c r="A750" s="98"/>
      <c r="D750" s="95"/>
      <c r="L750" s="50"/>
      <c r="O750" s="98"/>
      <c r="Q750" s="95"/>
    </row>
    <row r="751">
      <c r="A751" s="98"/>
      <c r="D751" s="95"/>
      <c r="L751" s="50"/>
      <c r="O751" s="98"/>
      <c r="Q751" s="95"/>
    </row>
    <row r="752">
      <c r="A752" s="98"/>
      <c r="D752" s="95"/>
      <c r="L752" s="50"/>
      <c r="O752" s="98"/>
      <c r="Q752" s="95"/>
    </row>
    <row r="753">
      <c r="A753" s="98"/>
      <c r="D753" s="95"/>
      <c r="L753" s="50"/>
      <c r="O753" s="98"/>
      <c r="Q753" s="95"/>
    </row>
    <row r="754">
      <c r="A754" s="98"/>
      <c r="D754" s="95"/>
      <c r="L754" s="50"/>
      <c r="O754" s="98"/>
      <c r="Q754" s="95"/>
    </row>
    <row r="755">
      <c r="A755" s="98"/>
      <c r="D755" s="95"/>
      <c r="L755" s="50"/>
      <c r="O755" s="98"/>
      <c r="Q755" s="95"/>
    </row>
    <row r="756">
      <c r="A756" s="98"/>
      <c r="D756" s="95"/>
      <c r="L756" s="50"/>
      <c r="O756" s="98"/>
      <c r="Q756" s="95"/>
    </row>
    <row r="757">
      <c r="A757" s="98"/>
      <c r="D757" s="95"/>
      <c r="L757" s="50"/>
      <c r="O757" s="98"/>
      <c r="Q757" s="95"/>
    </row>
    <row r="758">
      <c r="A758" s="98"/>
      <c r="D758" s="95"/>
      <c r="L758" s="50"/>
      <c r="O758" s="98"/>
      <c r="Q758" s="95"/>
    </row>
    <row r="759">
      <c r="A759" s="98"/>
      <c r="D759" s="95"/>
      <c r="L759" s="50"/>
      <c r="O759" s="98"/>
      <c r="Q759" s="95"/>
    </row>
    <row r="760">
      <c r="A760" s="98"/>
      <c r="D760" s="95"/>
      <c r="L760" s="50"/>
      <c r="O760" s="98"/>
      <c r="Q760" s="95"/>
    </row>
    <row r="761">
      <c r="A761" s="98"/>
      <c r="D761" s="95"/>
      <c r="L761" s="50"/>
      <c r="O761" s="98"/>
      <c r="Q761" s="95"/>
    </row>
    <row r="762">
      <c r="A762" s="98"/>
      <c r="D762" s="95"/>
      <c r="L762" s="50"/>
      <c r="O762" s="98"/>
      <c r="Q762" s="95"/>
    </row>
    <row r="763">
      <c r="A763" s="98"/>
      <c r="D763" s="95"/>
      <c r="L763" s="50"/>
      <c r="O763" s="98"/>
      <c r="Q763" s="95"/>
    </row>
    <row r="764">
      <c r="A764" s="98"/>
      <c r="D764" s="95"/>
      <c r="L764" s="50"/>
      <c r="O764" s="98"/>
      <c r="Q764" s="95"/>
    </row>
    <row r="765">
      <c r="A765" s="98"/>
      <c r="D765" s="95"/>
      <c r="L765" s="50"/>
      <c r="O765" s="98"/>
      <c r="Q765" s="95"/>
    </row>
    <row r="766">
      <c r="A766" s="98"/>
      <c r="D766" s="95"/>
      <c r="L766" s="50"/>
      <c r="O766" s="98"/>
      <c r="Q766" s="95"/>
    </row>
    <row r="767">
      <c r="A767" s="98"/>
      <c r="D767" s="95"/>
      <c r="L767" s="50"/>
      <c r="O767" s="98"/>
      <c r="Q767" s="95"/>
    </row>
    <row r="768">
      <c r="A768" s="98"/>
      <c r="D768" s="95"/>
      <c r="L768" s="50"/>
      <c r="O768" s="98"/>
      <c r="Q768" s="95"/>
    </row>
    <row r="769">
      <c r="A769" s="98"/>
      <c r="D769" s="95"/>
      <c r="L769" s="50"/>
      <c r="O769" s="98"/>
      <c r="Q769" s="95"/>
    </row>
    <row r="770">
      <c r="A770" s="98"/>
      <c r="D770" s="95"/>
      <c r="L770" s="50"/>
      <c r="O770" s="98"/>
      <c r="Q770" s="95"/>
    </row>
    <row r="771">
      <c r="A771" s="98"/>
      <c r="D771" s="95"/>
      <c r="L771" s="50"/>
      <c r="O771" s="98"/>
      <c r="Q771" s="95"/>
    </row>
    <row r="772">
      <c r="A772" s="98"/>
      <c r="D772" s="95"/>
      <c r="L772" s="50"/>
      <c r="O772" s="98"/>
      <c r="Q772" s="95"/>
    </row>
    <row r="773">
      <c r="A773" s="98"/>
      <c r="D773" s="95"/>
      <c r="L773" s="50"/>
      <c r="O773" s="98"/>
      <c r="Q773" s="95"/>
    </row>
    <row r="774">
      <c r="A774" s="98"/>
      <c r="D774" s="95"/>
      <c r="L774" s="50"/>
      <c r="O774" s="98"/>
      <c r="Q774" s="95"/>
    </row>
    <row r="775">
      <c r="A775" s="98"/>
      <c r="D775" s="95"/>
      <c r="L775" s="50"/>
      <c r="O775" s="98"/>
      <c r="Q775" s="95"/>
    </row>
    <row r="776">
      <c r="A776" s="98"/>
      <c r="D776" s="95"/>
      <c r="L776" s="50"/>
      <c r="O776" s="98"/>
      <c r="Q776" s="95"/>
    </row>
    <row r="777">
      <c r="A777" s="98"/>
      <c r="D777" s="95"/>
      <c r="L777" s="50"/>
      <c r="O777" s="98"/>
      <c r="Q777" s="95"/>
    </row>
    <row r="778">
      <c r="A778" s="98"/>
      <c r="D778" s="95"/>
      <c r="L778" s="50"/>
      <c r="O778" s="98"/>
      <c r="Q778" s="95"/>
    </row>
    <row r="779">
      <c r="A779" s="98"/>
      <c r="D779" s="95"/>
      <c r="L779" s="50"/>
      <c r="O779" s="98"/>
      <c r="Q779" s="95"/>
    </row>
    <row r="780">
      <c r="A780" s="98"/>
      <c r="D780" s="95"/>
      <c r="L780" s="50"/>
      <c r="O780" s="98"/>
      <c r="Q780" s="95"/>
    </row>
    <row r="781">
      <c r="A781" s="98"/>
      <c r="D781" s="95"/>
      <c r="L781" s="50"/>
      <c r="O781" s="98"/>
      <c r="Q781" s="95"/>
    </row>
    <row r="782">
      <c r="A782" s="98"/>
      <c r="D782" s="95"/>
      <c r="L782" s="50"/>
      <c r="O782" s="98"/>
      <c r="Q782" s="95"/>
    </row>
    <row r="783">
      <c r="A783" s="98"/>
      <c r="D783" s="95"/>
      <c r="L783" s="50"/>
      <c r="O783" s="98"/>
      <c r="Q783" s="95"/>
    </row>
    <row r="784">
      <c r="A784" s="98"/>
      <c r="D784" s="95"/>
      <c r="L784" s="50"/>
      <c r="O784" s="98"/>
      <c r="Q784" s="95"/>
    </row>
    <row r="785">
      <c r="A785" s="98"/>
      <c r="D785" s="95"/>
      <c r="L785" s="50"/>
      <c r="O785" s="98"/>
      <c r="Q785" s="95"/>
    </row>
    <row r="786">
      <c r="A786" s="98"/>
      <c r="D786" s="95"/>
      <c r="L786" s="50"/>
      <c r="O786" s="98"/>
      <c r="Q786" s="95"/>
    </row>
    <row r="787">
      <c r="A787" s="98"/>
      <c r="D787" s="95"/>
      <c r="L787" s="50"/>
      <c r="O787" s="98"/>
      <c r="Q787" s="95"/>
    </row>
    <row r="788">
      <c r="A788" s="98"/>
      <c r="D788" s="95"/>
      <c r="L788" s="50"/>
      <c r="O788" s="98"/>
      <c r="Q788" s="95"/>
    </row>
    <row r="789">
      <c r="A789" s="98"/>
      <c r="D789" s="95"/>
      <c r="L789" s="50"/>
      <c r="O789" s="98"/>
      <c r="Q789" s="95"/>
    </row>
    <row r="790">
      <c r="A790" s="98"/>
      <c r="D790" s="95"/>
      <c r="L790" s="50"/>
      <c r="O790" s="98"/>
      <c r="Q790" s="95"/>
    </row>
    <row r="791">
      <c r="A791" s="98"/>
      <c r="D791" s="95"/>
      <c r="L791" s="50"/>
      <c r="O791" s="98"/>
      <c r="Q791" s="95"/>
    </row>
    <row r="792">
      <c r="A792" s="98"/>
      <c r="D792" s="95"/>
      <c r="L792" s="50"/>
      <c r="O792" s="98"/>
      <c r="Q792" s="95"/>
    </row>
    <row r="793">
      <c r="A793" s="98"/>
      <c r="D793" s="95"/>
      <c r="L793" s="50"/>
      <c r="O793" s="98"/>
      <c r="Q793" s="95"/>
    </row>
    <row r="794">
      <c r="A794" s="98"/>
      <c r="D794" s="95"/>
      <c r="L794" s="50"/>
      <c r="O794" s="98"/>
      <c r="Q794" s="95"/>
    </row>
    <row r="795">
      <c r="A795" s="98"/>
      <c r="D795" s="95"/>
      <c r="L795" s="50"/>
      <c r="O795" s="98"/>
      <c r="Q795" s="95"/>
    </row>
    <row r="796">
      <c r="A796" s="98"/>
      <c r="D796" s="95"/>
      <c r="L796" s="50"/>
      <c r="O796" s="98"/>
      <c r="Q796" s="95"/>
    </row>
    <row r="797">
      <c r="A797" s="98"/>
      <c r="D797" s="95"/>
      <c r="L797" s="50"/>
      <c r="O797" s="98"/>
      <c r="Q797" s="95"/>
    </row>
    <row r="798">
      <c r="A798" s="98"/>
      <c r="D798" s="95"/>
      <c r="L798" s="50"/>
      <c r="O798" s="98"/>
      <c r="Q798" s="95"/>
    </row>
    <row r="799">
      <c r="A799" s="98"/>
      <c r="D799" s="95"/>
      <c r="L799" s="50"/>
      <c r="O799" s="98"/>
      <c r="Q799" s="95"/>
    </row>
    <row r="800">
      <c r="A800" s="98"/>
      <c r="D800" s="95"/>
      <c r="L800" s="50"/>
      <c r="O800" s="98"/>
      <c r="Q800" s="95"/>
    </row>
    <row r="801">
      <c r="A801" s="98"/>
      <c r="D801" s="95"/>
      <c r="L801" s="50"/>
      <c r="O801" s="98"/>
      <c r="Q801" s="95"/>
    </row>
    <row r="802">
      <c r="A802" s="98"/>
      <c r="D802" s="95"/>
      <c r="L802" s="50"/>
      <c r="O802" s="98"/>
      <c r="Q802" s="95"/>
    </row>
    <row r="803">
      <c r="A803" s="98"/>
      <c r="D803" s="95"/>
      <c r="L803" s="50"/>
      <c r="O803" s="98"/>
      <c r="Q803" s="95"/>
    </row>
    <row r="804">
      <c r="A804" s="98"/>
      <c r="D804" s="95"/>
      <c r="L804" s="50"/>
      <c r="O804" s="98"/>
      <c r="Q804" s="95"/>
    </row>
    <row r="805">
      <c r="A805" s="98"/>
      <c r="D805" s="95"/>
      <c r="L805" s="50"/>
      <c r="O805" s="98"/>
      <c r="Q805" s="95"/>
    </row>
    <row r="806">
      <c r="A806" s="98"/>
      <c r="D806" s="95"/>
      <c r="L806" s="50"/>
      <c r="O806" s="98"/>
      <c r="Q806" s="95"/>
    </row>
    <row r="807">
      <c r="A807" s="98"/>
      <c r="D807" s="95"/>
      <c r="L807" s="50"/>
      <c r="O807" s="98"/>
      <c r="Q807" s="95"/>
    </row>
    <row r="808">
      <c r="A808" s="98"/>
      <c r="D808" s="95"/>
      <c r="L808" s="50"/>
      <c r="O808" s="98"/>
      <c r="Q808" s="95"/>
    </row>
    <row r="809">
      <c r="A809" s="98"/>
      <c r="D809" s="95"/>
      <c r="L809" s="50"/>
      <c r="O809" s="98"/>
      <c r="Q809" s="95"/>
    </row>
    <row r="810">
      <c r="A810" s="98"/>
      <c r="D810" s="95"/>
      <c r="L810" s="50"/>
      <c r="O810" s="98"/>
      <c r="Q810" s="95"/>
    </row>
    <row r="811">
      <c r="A811" s="98"/>
      <c r="D811" s="95"/>
      <c r="L811" s="50"/>
      <c r="O811" s="98"/>
      <c r="Q811" s="95"/>
    </row>
    <row r="812">
      <c r="A812" s="98"/>
      <c r="D812" s="95"/>
      <c r="L812" s="50"/>
      <c r="O812" s="98"/>
      <c r="Q812" s="95"/>
    </row>
    <row r="813">
      <c r="A813" s="98"/>
      <c r="D813" s="95"/>
      <c r="L813" s="50"/>
      <c r="O813" s="98"/>
      <c r="Q813" s="95"/>
    </row>
    <row r="814">
      <c r="A814" s="98"/>
      <c r="D814" s="95"/>
      <c r="L814" s="50"/>
      <c r="O814" s="98"/>
      <c r="Q814" s="95"/>
    </row>
    <row r="815">
      <c r="A815" s="98"/>
      <c r="D815" s="95"/>
      <c r="L815" s="50"/>
      <c r="O815" s="98"/>
      <c r="Q815" s="95"/>
    </row>
    <row r="816">
      <c r="A816" s="98"/>
      <c r="D816" s="95"/>
      <c r="L816" s="50"/>
      <c r="O816" s="98"/>
      <c r="Q816" s="95"/>
    </row>
    <row r="817">
      <c r="A817" s="98"/>
      <c r="D817" s="95"/>
      <c r="L817" s="50"/>
      <c r="O817" s="98"/>
      <c r="Q817" s="95"/>
    </row>
    <row r="818">
      <c r="A818" s="98"/>
      <c r="D818" s="95"/>
      <c r="L818" s="50"/>
      <c r="O818" s="98"/>
      <c r="Q818" s="95"/>
    </row>
    <row r="819">
      <c r="A819" s="98"/>
      <c r="D819" s="95"/>
      <c r="L819" s="50"/>
      <c r="O819" s="98"/>
      <c r="Q819" s="95"/>
    </row>
    <row r="820">
      <c r="A820" s="98"/>
      <c r="D820" s="95"/>
      <c r="L820" s="50"/>
      <c r="O820" s="98"/>
      <c r="Q820" s="95"/>
    </row>
    <row r="821">
      <c r="A821" s="98"/>
      <c r="D821" s="95"/>
      <c r="L821" s="50"/>
      <c r="O821" s="98"/>
      <c r="Q821" s="95"/>
    </row>
    <row r="822">
      <c r="A822" s="98"/>
      <c r="D822" s="95"/>
      <c r="L822" s="50"/>
      <c r="O822" s="98"/>
      <c r="Q822" s="95"/>
    </row>
    <row r="823">
      <c r="A823" s="98"/>
      <c r="D823" s="95"/>
      <c r="L823" s="50"/>
      <c r="O823" s="98"/>
      <c r="Q823" s="95"/>
    </row>
    <row r="824">
      <c r="A824" s="98"/>
      <c r="D824" s="95"/>
      <c r="L824" s="50"/>
      <c r="O824" s="98"/>
      <c r="Q824" s="95"/>
    </row>
    <row r="825">
      <c r="A825" s="98"/>
      <c r="D825" s="95"/>
      <c r="L825" s="50"/>
      <c r="O825" s="98"/>
      <c r="Q825" s="95"/>
    </row>
    <row r="826">
      <c r="A826" s="98"/>
      <c r="D826" s="95"/>
      <c r="L826" s="50"/>
      <c r="O826" s="98"/>
      <c r="Q826" s="95"/>
    </row>
    <row r="827">
      <c r="A827" s="98"/>
      <c r="D827" s="95"/>
      <c r="L827" s="50"/>
      <c r="O827" s="98"/>
      <c r="Q827" s="95"/>
    </row>
    <row r="828">
      <c r="A828" s="98"/>
      <c r="D828" s="95"/>
      <c r="L828" s="50"/>
      <c r="O828" s="98"/>
      <c r="Q828" s="95"/>
    </row>
    <row r="829">
      <c r="A829" s="98"/>
      <c r="D829" s="95"/>
      <c r="L829" s="50"/>
      <c r="O829" s="98"/>
      <c r="Q829" s="95"/>
    </row>
    <row r="830">
      <c r="A830" s="98"/>
      <c r="D830" s="95"/>
      <c r="L830" s="50"/>
      <c r="O830" s="98"/>
      <c r="Q830" s="95"/>
    </row>
    <row r="831">
      <c r="A831" s="98"/>
      <c r="D831" s="95"/>
      <c r="L831" s="50"/>
      <c r="O831" s="98"/>
      <c r="Q831" s="95"/>
    </row>
    <row r="832">
      <c r="A832" s="98"/>
      <c r="D832" s="95"/>
      <c r="L832" s="50"/>
      <c r="O832" s="98"/>
      <c r="Q832" s="95"/>
    </row>
    <row r="833">
      <c r="A833" s="98"/>
      <c r="D833" s="95"/>
      <c r="L833" s="50"/>
      <c r="O833" s="98"/>
      <c r="Q833" s="95"/>
    </row>
    <row r="834">
      <c r="A834" s="98"/>
      <c r="D834" s="95"/>
      <c r="L834" s="50"/>
      <c r="O834" s="98"/>
      <c r="Q834" s="95"/>
    </row>
    <row r="835">
      <c r="A835" s="98"/>
      <c r="D835" s="95"/>
      <c r="L835" s="50"/>
      <c r="O835" s="98"/>
      <c r="Q835" s="95"/>
    </row>
    <row r="836">
      <c r="A836" s="98"/>
      <c r="D836" s="95"/>
      <c r="L836" s="50"/>
      <c r="O836" s="98"/>
      <c r="Q836" s="95"/>
    </row>
    <row r="837">
      <c r="A837" s="98"/>
      <c r="D837" s="95"/>
      <c r="L837" s="50"/>
      <c r="O837" s="98"/>
      <c r="Q837" s="95"/>
    </row>
    <row r="838">
      <c r="A838" s="98"/>
      <c r="D838" s="95"/>
      <c r="L838" s="50"/>
      <c r="O838" s="98"/>
      <c r="Q838" s="95"/>
    </row>
    <row r="839">
      <c r="A839" s="98"/>
      <c r="D839" s="95"/>
      <c r="L839" s="50"/>
      <c r="O839" s="98"/>
      <c r="Q839" s="95"/>
    </row>
    <row r="840">
      <c r="A840" s="98"/>
      <c r="D840" s="95"/>
      <c r="L840" s="50"/>
      <c r="O840" s="98"/>
      <c r="Q840" s="95"/>
    </row>
    <row r="841">
      <c r="A841" s="98"/>
      <c r="D841" s="95"/>
      <c r="L841" s="50"/>
      <c r="O841" s="98"/>
      <c r="Q841" s="95"/>
    </row>
    <row r="842">
      <c r="A842" s="98"/>
      <c r="D842" s="95"/>
      <c r="L842" s="50"/>
      <c r="O842" s="98"/>
      <c r="Q842" s="95"/>
    </row>
    <row r="843">
      <c r="A843" s="98"/>
      <c r="D843" s="95"/>
      <c r="L843" s="50"/>
      <c r="O843" s="98"/>
      <c r="Q843" s="95"/>
    </row>
    <row r="844">
      <c r="A844" s="98"/>
      <c r="D844" s="95"/>
      <c r="L844" s="50"/>
      <c r="O844" s="98"/>
      <c r="Q844" s="95"/>
    </row>
    <row r="845">
      <c r="A845" s="98"/>
      <c r="D845" s="95"/>
      <c r="L845" s="50"/>
      <c r="O845" s="98"/>
      <c r="Q845" s="95"/>
    </row>
    <row r="846">
      <c r="A846" s="98"/>
      <c r="D846" s="95"/>
      <c r="L846" s="50"/>
      <c r="O846" s="98"/>
      <c r="Q846" s="95"/>
    </row>
    <row r="847">
      <c r="A847" s="98"/>
      <c r="D847" s="95"/>
      <c r="L847" s="50"/>
      <c r="O847" s="98"/>
      <c r="Q847" s="95"/>
    </row>
    <row r="848">
      <c r="A848" s="98"/>
      <c r="D848" s="95"/>
      <c r="L848" s="50"/>
      <c r="O848" s="98"/>
      <c r="Q848" s="95"/>
    </row>
    <row r="849">
      <c r="A849" s="98"/>
      <c r="D849" s="95"/>
      <c r="L849" s="50"/>
      <c r="O849" s="98"/>
      <c r="Q849" s="95"/>
    </row>
    <row r="850">
      <c r="A850" s="98"/>
      <c r="D850" s="95"/>
      <c r="L850" s="50"/>
      <c r="O850" s="98"/>
      <c r="Q850" s="95"/>
    </row>
    <row r="851">
      <c r="A851" s="98"/>
      <c r="D851" s="95"/>
      <c r="L851" s="50"/>
      <c r="O851" s="98"/>
      <c r="Q851" s="95"/>
    </row>
    <row r="852">
      <c r="A852" s="98"/>
      <c r="D852" s="95"/>
      <c r="L852" s="50"/>
      <c r="O852" s="98"/>
      <c r="Q852" s="95"/>
    </row>
    <row r="853">
      <c r="A853" s="98"/>
      <c r="D853" s="95"/>
      <c r="L853" s="50"/>
      <c r="O853" s="98"/>
      <c r="Q853" s="95"/>
    </row>
    <row r="854">
      <c r="A854" s="98"/>
      <c r="D854" s="95"/>
      <c r="L854" s="50"/>
      <c r="O854" s="98"/>
      <c r="Q854" s="95"/>
    </row>
    <row r="855">
      <c r="A855" s="98"/>
      <c r="D855" s="95"/>
      <c r="L855" s="50"/>
      <c r="O855" s="98"/>
      <c r="Q855" s="95"/>
    </row>
    <row r="856">
      <c r="A856" s="98"/>
      <c r="D856" s="95"/>
      <c r="L856" s="50"/>
      <c r="O856" s="98"/>
      <c r="Q856" s="95"/>
    </row>
    <row r="857">
      <c r="A857" s="98"/>
      <c r="D857" s="95"/>
      <c r="L857" s="50"/>
      <c r="O857" s="98"/>
      <c r="Q857" s="95"/>
    </row>
    <row r="858">
      <c r="A858" s="98"/>
      <c r="D858" s="95"/>
      <c r="L858" s="50"/>
      <c r="O858" s="98"/>
      <c r="Q858" s="95"/>
    </row>
    <row r="859">
      <c r="A859" s="98"/>
      <c r="D859" s="95"/>
      <c r="L859" s="50"/>
      <c r="O859" s="98"/>
      <c r="Q859" s="95"/>
    </row>
    <row r="860">
      <c r="A860" s="98"/>
      <c r="D860" s="95"/>
      <c r="L860" s="50"/>
      <c r="O860" s="98"/>
      <c r="Q860" s="95"/>
    </row>
    <row r="861">
      <c r="A861" s="98"/>
      <c r="D861" s="95"/>
      <c r="L861" s="50"/>
      <c r="O861" s="98"/>
      <c r="Q861" s="95"/>
    </row>
    <row r="862">
      <c r="A862" s="98"/>
      <c r="D862" s="95"/>
      <c r="L862" s="50"/>
      <c r="O862" s="98"/>
      <c r="Q862" s="95"/>
    </row>
    <row r="863">
      <c r="A863" s="98"/>
      <c r="D863" s="95"/>
      <c r="L863" s="50"/>
      <c r="O863" s="98"/>
      <c r="Q863" s="95"/>
    </row>
    <row r="864">
      <c r="A864" s="98"/>
      <c r="D864" s="95"/>
      <c r="L864" s="50"/>
      <c r="O864" s="98"/>
      <c r="Q864" s="95"/>
    </row>
    <row r="865">
      <c r="A865" s="98"/>
      <c r="D865" s="95"/>
      <c r="L865" s="50"/>
      <c r="O865" s="98"/>
      <c r="Q865" s="95"/>
    </row>
    <row r="866">
      <c r="A866" s="98"/>
      <c r="D866" s="95"/>
      <c r="L866" s="50"/>
      <c r="O866" s="98"/>
      <c r="Q866" s="95"/>
    </row>
    <row r="867">
      <c r="A867" s="98"/>
      <c r="D867" s="95"/>
      <c r="L867" s="50"/>
      <c r="O867" s="98"/>
      <c r="Q867" s="95"/>
    </row>
    <row r="868">
      <c r="A868" s="98"/>
      <c r="D868" s="95"/>
      <c r="L868" s="50"/>
      <c r="O868" s="98"/>
      <c r="Q868" s="95"/>
    </row>
    <row r="869">
      <c r="A869" s="98"/>
      <c r="D869" s="95"/>
      <c r="L869" s="50"/>
      <c r="O869" s="98"/>
      <c r="Q869" s="95"/>
    </row>
    <row r="870">
      <c r="A870" s="98"/>
      <c r="D870" s="95"/>
      <c r="L870" s="50"/>
      <c r="O870" s="98"/>
      <c r="Q870" s="95"/>
    </row>
    <row r="871">
      <c r="A871" s="98"/>
      <c r="D871" s="95"/>
      <c r="L871" s="50"/>
      <c r="O871" s="98"/>
      <c r="Q871" s="95"/>
    </row>
    <row r="872">
      <c r="A872" s="98"/>
      <c r="D872" s="95"/>
      <c r="L872" s="50"/>
      <c r="O872" s="98"/>
      <c r="Q872" s="95"/>
    </row>
    <row r="873">
      <c r="A873" s="98"/>
      <c r="D873" s="95"/>
      <c r="L873" s="50"/>
      <c r="O873" s="98"/>
      <c r="Q873" s="95"/>
    </row>
    <row r="874">
      <c r="A874" s="98"/>
      <c r="D874" s="95"/>
      <c r="L874" s="50"/>
      <c r="O874" s="98"/>
      <c r="Q874" s="95"/>
    </row>
    <row r="875">
      <c r="A875" s="98"/>
      <c r="D875" s="95"/>
      <c r="L875" s="50"/>
      <c r="O875" s="98"/>
      <c r="Q875" s="95"/>
    </row>
    <row r="876">
      <c r="A876" s="98"/>
      <c r="D876" s="95"/>
      <c r="L876" s="50"/>
      <c r="O876" s="98"/>
      <c r="Q876" s="95"/>
    </row>
    <row r="877">
      <c r="A877" s="98"/>
      <c r="D877" s="95"/>
      <c r="L877" s="50"/>
      <c r="O877" s="98"/>
      <c r="Q877" s="95"/>
    </row>
    <row r="878">
      <c r="A878" s="98"/>
      <c r="D878" s="95"/>
      <c r="L878" s="50"/>
      <c r="O878" s="98"/>
      <c r="Q878" s="95"/>
    </row>
    <row r="879">
      <c r="A879" s="98"/>
      <c r="D879" s="95"/>
      <c r="L879" s="50"/>
      <c r="O879" s="98"/>
      <c r="Q879" s="95"/>
    </row>
    <row r="880">
      <c r="A880" s="98"/>
      <c r="D880" s="95"/>
      <c r="L880" s="50"/>
      <c r="O880" s="98"/>
      <c r="Q880" s="95"/>
    </row>
    <row r="881">
      <c r="A881" s="98"/>
      <c r="D881" s="95"/>
      <c r="L881" s="50"/>
      <c r="O881" s="98"/>
      <c r="Q881" s="95"/>
    </row>
    <row r="882">
      <c r="A882" s="98"/>
      <c r="D882" s="95"/>
      <c r="L882" s="50"/>
      <c r="O882" s="98"/>
      <c r="Q882" s="95"/>
    </row>
    <row r="883">
      <c r="A883" s="98"/>
      <c r="D883" s="95"/>
      <c r="L883" s="50"/>
      <c r="O883" s="98"/>
      <c r="Q883" s="95"/>
    </row>
    <row r="884">
      <c r="A884" s="98"/>
      <c r="D884" s="95"/>
      <c r="L884" s="50"/>
      <c r="O884" s="98"/>
      <c r="Q884" s="95"/>
    </row>
    <row r="885">
      <c r="A885" s="98"/>
      <c r="D885" s="95"/>
      <c r="L885" s="50"/>
      <c r="O885" s="98"/>
      <c r="Q885" s="95"/>
    </row>
    <row r="886">
      <c r="A886" s="98"/>
      <c r="D886" s="95"/>
      <c r="L886" s="50"/>
      <c r="O886" s="98"/>
      <c r="Q886" s="95"/>
    </row>
    <row r="887">
      <c r="A887" s="98"/>
      <c r="D887" s="95"/>
      <c r="L887" s="50"/>
      <c r="O887" s="98"/>
      <c r="Q887" s="95"/>
    </row>
    <row r="888">
      <c r="A888" s="98"/>
      <c r="D888" s="95"/>
      <c r="L888" s="50"/>
      <c r="O888" s="98"/>
      <c r="Q888" s="95"/>
    </row>
    <row r="889">
      <c r="A889" s="98"/>
      <c r="D889" s="95"/>
      <c r="L889" s="50"/>
      <c r="O889" s="98"/>
      <c r="Q889" s="95"/>
    </row>
    <row r="890">
      <c r="A890" s="98"/>
      <c r="D890" s="95"/>
      <c r="L890" s="50"/>
      <c r="O890" s="98"/>
      <c r="Q890" s="95"/>
    </row>
    <row r="891">
      <c r="A891" s="98"/>
      <c r="D891" s="95"/>
      <c r="L891" s="50"/>
      <c r="O891" s="98"/>
      <c r="Q891" s="95"/>
    </row>
    <row r="892">
      <c r="A892" s="98"/>
      <c r="D892" s="95"/>
      <c r="L892" s="50"/>
      <c r="O892" s="98"/>
      <c r="Q892" s="95"/>
    </row>
    <row r="893">
      <c r="A893" s="98"/>
      <c r="D893" s="95"/>
      <c r="L893" s="50"/>
      <c r="O893" s="98"/>
      <c r="Q893" s="95"/>
    </row>
    <row r="894">
      <c r="A894" s="98"/>
      <c r="D894" s="95"/>
      <c r="L894" s="50"/>
      <c r="O894" s="98"/>
      <c r="Q894" s="95"/>
    </row>
    <row r="895">
      <c r="A895" s="98"/>
      <c r="D895" s="95"/>
      <c r="L895" s="50"/>
      <c r="O895" s="98"/>
      <c r="Q895" s="95"/>
    </row>
    <row r="896">
      <c r="A896" s="98"/>
      <c r="D896" s="95"/>
      <c r="L896" s="50"/>
      <c r="O896" s="98"/>
      <c r="Q896" s="95"/>
    </row>
    <row r="897">
      <c r="A897" s="98"/>
      <c r="D897" s="95"/>
      <c r="L897" s="50"/>
      <c r="O897" s="98"/>
      <c r="Q897" s="95"/>
    </row>
    <row r="898">
      <c r="A898" s="98"/>
      <c r="D898" s="95"/>
      <c r="L898" s="50"/>
      <c r="O898" s="98"/>
      <c r="Q898" s="95"/>
    </row>
    <row r="899">
      <c r="A899" s="98"/>
      <c r="D899" s="95"/>
      <c r="L899" s="50"/>
      <c r="O899" s="98"/>
      <c r="Q899" s="95"/>
    </row>
    <row r="900">
      <c r="A900" s="98"/>
      <c r="D900" s="95"/>
      <c r="L900" s="50"/>
      <c r="O900" s="98"/>
      <c r="Q900" s="95"/>
    </row>
    <row r="901">
      <c r="A901" s="98"/>
      <c r="D901" s="95"/>
      <c r="L901" s="50"/>
      <c r="O901" s="98"/>
      <c r="Q901" s="95"/>
    </row>
    <row r="902">
      <c r="A902" s="98"/>
      <c r="D902" s="95"/>
      <c r="L902" s="50"/>
      <c r="O902" s="98"/>
      <c r="Q902" s="95"/>
    </row>
    <row r="903">
      <c r="A903" s="98"/>
      <c r="D903" s="95"/>
      <c r="L903" s="50"/>
      <c r="O903" s="98"/>
      <c r="Q903" s="95"/>
    </row>
    <row r="904">
      <c r="A904" s="98"/>
      <c r="D904" s="95"/>
      <c r="L904" s="50"/>
      <c r="O904" s="98"/>
      <c r="Q904" s="95"/>
    </row>
    <row r="905">
      <c r="A905" s="98"/>
      <c r="D905" s="95"/>
      <c r="L905" s="50"/>
      <c r="O905" s="98"/>
      <c r="Q905" s="95"/>
    </row>
    <row r="906">
      <c r="A906" s="98"/>
      <c r="D906" s="95"/>
      <c r="L906" s="50"/>
      <c r="O906" s="98"/>
      <c r="Q906" s="95"/>
    </row>
    <row r="907">
      <c r="A907" s="98"/>
      <c r="D907" s="95"/>
      <c r="L907" s="50"/>
      <c r="O907" s="98"/>
      <c r="Q907" s="95"/>
    </row>
    <row r="908">
      <c r="A908" s="98"/>
      <c r="D908" s="95"/>
      <c r="L908" s="50"/>
      <c r="O908" s="98"/>
      <c r="Q908" s="95"/>
    </row>
    <row r="909">
      <c r="A909" s="98"/>
      <c r="D909" s="95"/>
      <c r="L909" s="50"/>
      <c r="O909" s="98"/>
      <c r="Q909" s="95"/>
    </row>
    <row r="910">
      <c r="A910" s="98"/>
      <c r="D910" s="95"/>
      <c r="L910" s="50"/>
      <c r="O910" s="98"/>
      <c r="Q910" s="95"/>
    </row>
    <row r="911">
      <c r="A911" s="98"/>
      <c r="D911" s="95"/>
      <c r="L911" s="50"/>
      <c r="O911" s="98"/>
      <c r="Q911" s="95"/>
    </row>
    <row r="912">
      <c r="A912" s="98"/>
      <c r="D912" s="95"/>
      <c r="L912" s="50"/>
      <c r="O912" s="98"/>
      <c r="Q912" s="95"/>
    </row>
    <row r="913">
      <c r="A913" s="98"/>
      <c r="D913" s="95"/>
      <c r="L913" s="50"/>
      <c r="O913" s="98"/>
      <c r="Q913" s="95"/>
    </row>
    <row r="914">
      <c r="A914" s="98"/>
      <c r="D914" s="95"/>
      <c r="L914" s="50"/>
      <c r="O914" s="98"/>
      <c r="Q914" s="95"/>
    </row>
    <row r="915">
      <c r="A915" s="98"/>
      <c r="D915" s="95"/>
      <c r="L915" s="50"/>
      <c r="O915" s="98"/>
      <c r="Q915" s="95"/>
    </row>
    <row r="916">
      <c r="A916" s="98"/>
      <c r="D916" s="95"/>
      <c r="L916" s="50"/>
      <c r="O916" s="98"/>
      <c r="Q916" s="95"/>
    </row>
    <row r="917">
      <c r="A917" s="98"/>
      <c r="D917" s="95"/>
      <c r="L917" s="50"/>
      <c r="O917" s="98"/>
      <c r="Q917" s="95"/>
    </row>
    <row r="918">
      <c r="A918" s="98"/>
      <c r="D918" s="95"/>
      <c r="L918" s="50"/>
      <c r="O918" s="98"/>
      <c r="Q918" s="95"/>
    </row>
    <row r="919">
      <c r="A919" s="98"/>
      <c r="D919" s="95"/>
      <c r="L919" s="50"/>
      <c r="O919" s="98"/>
      <c r="Q919" s="95"/>
    </row>
    <row r="920">
      <c r="A920" s="98"/>
      <c r="D920" s="95"/>
      <c r="L920" s="50"/>
      <c r="O920" s="98"/>
      <c r="Q920" s="95"/>
    </row>
    <row r="921">
      <c r="A921" s="98"/>
      <c r="D921" s="95"/>
      <c r="L921" s="50"/>
      <c r="O921" s="98"/>
      <c r="Q921" s="95"/>
    </row>
    <row r="922">
      <c r="A922" s="98"/>
      <c r="D922" s="95"/>
      <c r="L922" s="50"/>
      <c r="O922" s="98"/>
      <c r="Q922" s="95"/>
    </row>
    <row r="923">
      <c r="A923" s="98"/>
      <c r="D923" s="95"/>
      <c r="L923" s="50"/>
      <c r="O923" s="98"/>
      <c r="Q923" s="95"/>
    </row>
    <row r="924">
      <c r="A924" s="98"/>
      <c r="D924" s="95"/>
      <c r="L924" s="50"/>
      <c r="O924" s="98"/>
      <c r="Q924" s="95"/>
    </row>
    <row r="925">
      <c r="A925" s="98"/>
      <c r="D925" s="95"/>
      <c r="L925" s="50"/>
      <c r="O925" s="98"/>
      <c r="Q925" s="95"/>
    </row>
    <row r="926">
      <c r="A926" s="98"/>
      <c r="D926" s="95"/>
      <c r="L926" s="50"/>
      <c r="O926" s="98"/>
      <c r="Q926" s="95"/>
    </row>
    <row r="927">
      <c r="A927" s="98"/>
      <c r="D927" s="95"/>
      <c r="L927" s="50"/>
      <c r="O927" s="98"/>
      <c r="Q927" s="95"/>
    </row>
    <row r="928">
      <c r="A928" s="98"/>
      <c r="D928" s="95"/>
      <c r="L928" s="50"/>
      <c r="O928" s="98"/>
      <c r="Q928" s="95"/>
    </row>
    <row r="929">
      <c r="A929" s="98"/>
      <c r="D929" s="95"/>
      <c r="L929" s="50"/>
      <c r="O929" s="98"/>
      <c r="Q929" s="95"/>
    </row>
    <row r="930">
      <c r="A930" s="98"/>
      <c r="D930" s="95"/>
      <c r="L930" s="50"/>
      <c r="O930" s="98"/>
      <c r="Q930" s="95"/>
    </row>
    <row r="931">
      <c r="A931" s="98"/>
      <c r="D931" s="95"/>
      <c r="L931" s="50"/>
      <c r="O931" s="98"/>
      <c r="Q931" s="95"/>
    </row>
    <row r="932">
      <c r="A932" s="98"/>
      <c r="D932" s="95"/>
      <c r="L932" s="50"/>
      <c r="O932" s="98"/>
      <c r="Q932" s="95"/>
    </row>
    <row r="933">
      <c r="A933" s="98"/>
      <c r="D933" s="95"/>
      <c r="L933" s="50"/>
      <c r="O933" s="98"/>
      <c r="Q933" s="95"/>
    </row>
    <row r="934">
      <c r="A934" s="98"/>
      <c r="D934" s="95"/>
      <c r="L934" s="50"/>
      <c r="O934" s="98"/>
      <c r="Q934" s="95"/>
    </row>
    <row r="935">
      <c r="A935" s="98"/>
      <c r="D935" s="95"/>
      <c r="L935" s="50"/>
      <c r="O935" s="98"/>
      <c r="Q935" s="95"/>
    </row>
    <row r="936">
      <c r="A936" s="98"/>
      <c r="D936" s="95"/>
      <c r="L936" s="50"/>
      <c r="O936" s="98"/>
      <c r="Q936" s="95"/>
    </row>
    <row r="937">
      <c r="A937" s="98"/>
      <c r="D937" s="95"/>
      <c r="L937" s="50"/>
      <c r="O937" s="98"/>
      <c r="Q937" s="95"/>
    </row>
    <row r="938">
      <c r="A938" s="98"/>
      <c r="D938" s="95"/>
      <c r="L938" s="50"/>
      <c r="O938" s="98"/>
      <c r="Q938" s="95"/>
    </row>
    <row r="939">
      <c r="A939" s="98"/>
      <c r="D939" s="95"/>
      <c r="L939" s="50"/>
      <c r="O939" s="98"/>
      <c r="Q939" s="95"/>
    </row>
    <row r="940">
      <c r="A940" s="98"/>
      <c r="D940" s="95"/>
      <c r="L940" s="50"/>
      <c r="O940" s="98"/>
      <c r="Q940" s="95"/>
    </row>
    <row r="941">
      <c r="A941" s="98"/>
      <c r="D941" s="95"/>
      <c r="L941" s="50"/>
      <c r="O941" s="98"/>
      <c r="Q941" s="95"/>
    </row>
    <row r="942">
      <c r="A942" s="98"/>
      <c r="D942" s="95"/>
      <c r="L942" s="50"/>
      <c r="O942" s="98"/>
      <c r="Q942" s="95"/>
    </row>
    <row r="943">
      <c r="A943" s="98"/>
      <c r="D943" s="95"/>
      <c r="L943" s="50"/>
      <c r="O943" s="98"/>
      <c r="Q943" s="95"/>
    </row>
    <row r="944">
      <c r="A944" s="98"/>
      <c r="D944" s="95"/>
      <c r="L944" s="50"/>
      <c r="O944" s="98"/>
      <c r="Q944" s="95"/>
    </row>
    <row r="945">
      <c r="A945" s="98"/>
      <c r="D945" s="95"/>
      <c r="L945" s="50"/>
      <c r="O945" s="98"/>
      <c r="Q945" s="95"/>
    </row>
    <row r="946">
      <c r="A946" s="98"/>
      <c r="D946" s="95"/>
      <c r="L946" s="50"/>
      <c r="O946" s="98"/>
      <c r="Q946" s="95"/>
    </row>
    <row r="947">
      <c r="A947" s="98"/>
      <c r="D947" s="95"/>
      <c r="L947" s="50"/>
      <c r="O947" s="98"/>
      <c r="Q947" s="95"/>
    </row>
    <row r="948">
      <c r="A948" s="98"/>
      <c r="D948" s="95"/>
      <c r="L948" s="50"/>
      <c r="O948" s="98"/>
      <c r="Q948" s="95"/>
    </row>
    <row r="949">
      <c r="A949" s="98"/>
      <c r="D949" s="95"/>
      <c r="L949" s="50"/>
      <c r="O949" s="98"/>
      <c r="Q949" s="95"/>
    </row>
    <row r="950">
      <c r="A950" s="98"/>
      <c r="D950" s="95"/>
      <c r="L950" s="50"/>
      <c r="O950" s="98"/>
      <c r="Q950" s="95"/>
    </row>
    <row r="951">
      <c r="A951" s="98"/>
      <c r="D951" s="95"/>
      <c r="L951" s="50"/>
      <c r="O951" s="98"/>
      <c r="Q951" s="95"/>
    </row>
    <row r="952">
      <c r="A952" s="98"/>
      <c r="D952" s="95"/>
      <c r="L952" s="50"/>
      <c r="O952" s="98"/>
      <c r="Q952" s="95"/>
    </row>
    <row r="953">
      <c r="A953" s="98"/>
      <c r="D953" s="95"/>
      <c r="L953" s="50"/>
      <c r="O953" s="98"/>
      <c r="Q953" s="95"/>
    </row>
    <row r="954">
      <c r="A954" s="98"/>
      <c r="D954" s="95"/>
      <c r="L954" s="50"/>
      <c r="O954" s="98"/>
      <c r="Q954" s="95"/>
    </row>
    <row r="955">
      <c r="A955" s="98"/>
      <c r="D955" s="95"/>
      <c r="L955" s="50"/>
      <c r="O955" s="98"/>
      <c r="Q955" s="95"/>
    </row>
    <row r="956">
      <c r="A956" s="98"/>
      <c r="D956" s="95"/>
      <c r="L956" s="50"/>
      <c r="O956" s="98"/>
      <c r="Q956" s="95"/>
    </row>
    <row r="957">
      <c r="A957" s="98"/>
      <c r="D957" s="95"/>
      <c r="L957" s="50"/>
      <c r="O957" s="98"/>
      <c r="Q957" s="95"/>
    </row>
    <row r="958">
      <c r="A958" s="98"/>
      <c r="D958" s="95"/>
      <c r="L958" s="50"/>
      <c r="O958" s="98"/>
      <c r="Q958" s="95"/>
    </row>
    <row r="959">
      <c r="A959" s="98"/>
      <c r="D959" s="95"/>
      <c r="L959" s="50"/>
      <c r="O959" s="98"/>
      <c r="Q959" s="95"/>
    </row>
    <row r="960">
      <c r="A960" s="98"/>
      <c r="D960" s="95"/>
      <c r="L960" s="50"/>
      <c r="O960" s="98"/>
      <c r="Q960" s="95"/>
    </row>
    <row r="961">
      <c r="A961" s="98"/>
      <c r="D961" s="95"/>
      <c r="L961" s="50"/>
      <c r="O961" s="98"/>
      <c r="Q961" s="95"/>
    </row>
    <row r="962">
      <c r="A962" s="98"/>
      <c r="D962" s="95"/>
      <c r="L962" s="50"/>
      <c r="O962" s="98"/>
      <c r="Q962" s="95"/>
    </row>
    <row r="963">
      <c r="A963" s="98"/>
      <c r="D963" s="95"/>
      <c r="L963" s="50"/>
      <c r="O963" s="98"/>
      <c r="Q963" s="95"/>
    </row>
    <row r="964">
      <c r="A964" s="98"/>
      <c r="D964" s="95"/>
      <c r="L964" s="50"/>
      <c r="O964" s="98"/>
      <c r="Q964" s="95"/>
    </row>
    <row r="965">
      <c r="A965" s="98"/>
      <c r="D965" s="95"/>
      <c r="L965" s="50"/>
      <c r="O965" s="98"/>
      <c r="Q965" s="95"/>
    </row>
    <row r="966">
      <c r="A966" s="98"/>
      <c r="D966" s="95"/>
      <c r="L966" s="50"/>
      <c r="O966" s="98"/>
      <c r="Q966" s="95"/>
    </row>
    <row r="967">
      <c r="A967" s="98"/>
      <c r="D967" s="95"/>
      <c r="L967" s="50"/>
      <c r="O967" s="98"/>
      <c r="Q967" s="95"/>
    </row>
    <row r="968">
      <c r="A968" s="98"/>
      <c r="D968" s="95"/>
      <c r="L968" s="50"/>
      <c r="O968" s="98"/>
      <c r="Q968" s="95"/>
    </row>
    <row r="969">
      <c r="A969" s="98"/>
      <c r="D969" s="95"/>
      <c r="L969" s="50"/>
      <c r="O969" s="98"/>
      <c r="Q969" s="95"/>
    </row>
    <row r="970">
      <c r="A970" s="98"/>
      <c r="D970" s="95"/>
      <c r="L970" s="50"/>
      <c r="O970" s="98"/>
      <c r="Q970" s="95"/>
    </row>
    <row r="971">
      <c r="A971" s="98"/>
      <c r="D971" s="95"/>
      <c r="L971" s="50"/>
      <c r="O971" s="98"/>
      <c r="Q971" s="95"/>
    </row>
    <row r="972">
      <c r="A972" s="98"/>
      <c r="D972" s="95"/>
      <c r="L972" s="50"/>
      <c r="O972" s="98"/>
      <c r="Q972" s="95"/>
    </row>
    <row r="973">
      <c r="A973" s="98"/>
      <c r="D973" s="95"/>
      <c r="L973" s="50"/>
      <c r="O973" s="98"/>
      <c r="Q973" s="95"/>
    </row>
    <row r="974">
      <c r="A974" s="98"/>
      <c r="D974" s="95"/>
      <c r="L974" s="50"/>
      <c r="O974" s="98"/>
      <c r="Q974" s="95"/>
    </row>
    <row r="975">
      <c r="A975" s="98"/>
      <c r="D975" s="95"/>
      <c r="L975" s="50"/>
      <c r="O975" s="98"/>
      <c r="Q975" s="95"/>
    </row>
    <row r="976">
      <c r="A976" s="98"/>
      <c r="D976" s="95"/>
      <c r="L976" s="50"/>
      <c r="O976" s="98"/>
      <c r="Q976" s="95"/>
    </row>
    <row r="977">
      <c r="A977" s="98"/>
      <c r="D977" s="95"/>
      <c r="L977" s="50"/>
      <c r="O977" s="98"/>
      <c r="Q977" s="95"/>
    </row>
    <row r="978">
      <c r="A978" s="98"/>
      <c r="D978" s="95"/>
      <c r="L978" s="50"/>
      <c r="O978" s="98"/>
      <c r="Q978" s="95"/>
    </row>
    <row r="979">
      <c r="A979" s="98"/>
      <c r="D979" s="95"/>
      <c r="L979" s="50"/>
      <c r="O979" s="98"/>
      <c r="Q979" s="95"/>
    </row>
    <row r="980">
      <c r="A980" s="98"/>
      <c r="D980" s="95"/>
      <c r="L980" s="50"/>
      <c r="O980" s="98"/>
      <c r="Q980" s="95"/>
    </row>
    <row r="981">
      <c r="A981" s="98"/>
      <c r="D981" s="95"/>
      <c r="L981" s="50"/>
      <c r="O981" s="98"/>
      <c r="Q981" s="95"/>
    </row>
    <row r="982">
      <c r="A982" s="98"/>
      <c r="D982" s="95"/>
      <c r="L982" s="50"/>
      <c r="O982" s="98"/>
      <c r="Q982" s="95"/>
    </row>
    <row r="983">
      <c r="A983" s="98"/>
      <c r="D983" s="95"/>
      <c r="L983" s="50"/>
      <c r="O983" s="98"/>
      <c r="Q983" s="95"/>
    </row>
    <row r="984">
      <c r="A984" s="98"/>
      <c r="D984" s="95"/>
      <c r="L984" s="50"/>
      <c r="O984" s="98"/>
      <c r="Q984" s="95"/>
    </row>
    <row r="985">
      <c r="A985" s="98"/>
      <c r="D985" s="95"/>
      <c r="L985" s="50"/>
      <c r="O985" s="98"/>
      <c r="Q985" s="95"/>
    </row>
    <row r="986">
      <c r="A986" s="98"/>
      <c r="D986" s="95"/>
      <c r="L986" s="50"/>
      <c r="O986" s="98"/>
      <c r="Q986" s="95"/>
    </row>
    <row r="987">
      <c r="A987" s="98"/>
      <c r="D987" s="95"/>
      <c r="L987" s="50"/>
      <c r="O987" s="98"/>
      <c r="Q987" s="95"/>
    </row>
    <row r="988">
      <c r="A988" s="98"/>
      <c r="D988" s="95"/>
      <c r="L988" s="50"/>
      <c r="O988" s="98"/>
      <c r="Q988" s="95"/>
    </row>
    <row r="989">
      <c r="A989" s="98"/>
      <c r="D989" s="95"/>
      <c r="L989" s="50"/>
      <c r="O989" s="98"/>
      <c r="Q989" s="95"/>
    </row>
    <row r="990">
      <c r="A990" s="98"/>
      <c r="D990" s="95"/>
      <c r="L990" s="50"/>
      <c r="O990" s="98"/>
      <c r="Q990" s="95"/>
    </row>
    <row r="991">
      <c r="A991" s="98"/>
      <c r="D991" s="95"/>
      <c r="L991" s="50"/>
      <c r="O991" s="98"/>
      <c r="Q991" s="95"/>
    </row>
    <row r="992">
      <c r="A992" s="98"/>
      <c r="D992" s="95"/>
      <c r="L992" s="50"/>
      <c r="O992" s="98"/>
      <c r="Q992" s="95"/>
    </row>
    <row r="993">
      <c r="A993" s="98"/>
      <c r="D993" s="95"/>
      <c r="L993" s="50"/>
      <c r="O993" s="98"/>
      <c r="Q993" s="95"/>
    </row>
    <row r="994">
      <c r="A994" s="98"/>
      <c r="D994" s="95"/>
      <c r="L994" s="50"/>
      <c r="O994" s="98"/>
      <c r="Q994" s="95"/>
    </row>
    <row r="995">
      <c r="A995" s="98"/>
      <c r="D995" s="95"/>
      <c r="L995" s="50"/>
      <c r="O995" s="98"/>
      <c r="Q995" s="95"/>
    </row>
    <row r="996">
      <c r="A996" s="98"/>
      <c r="D996" s="95"/>
      <c r="L996" s="50"/>
      <c r="O996" s="98"/>
      <c r="Q996" s="95"/>
    </row>
    <row r="997">
      <c r="A997" s="98"/>
      <c r="D997" s="95"/>
      <c r="L997" s="50"/>
      <c r="O997" s="98"/>
      <c r="Q997" s="95"/>
    </row>
    <row r="998">
      <c r="A998" s="98"/>
      <c r="D998" s="95"/>
      <c r="L998" s="50"/>
      <c r="O998" s="98"/>
      <c r="Q998" s="95"/>
    </row>
    <row r="999">
      <c r="A999" s="98"/>
      <c r="D999" s="95"/>
      <c r="L999" s="50"/>
      <c r="O999" s="98"/>
      <c r="Q999" s="95"/>
    </row>
    <row r="1000">
      <c r="A1000" s="98"/>
      <c r="D1000" s="95"/>
      <c r="L1000" s="50"/>
      <c r="O1000" s="98"/>
      <c r="Q1000" s="95"/>
    </row>
    <row r="1001">
      <c r="A1001" s="98"/>
      <c r="D1001" s="95"/>
      <c r="L1001" s="50"/>
      <c r="O1001" s="98"/>
      <c r="Q1001" s="95"/>
    </row>
    <row r="1002">
      <c r="A1002" s="98"/>
      <c r="D1002" s="95"/>
      <c r="L1002" s="50"/>
      <c r="O1002" s="98"/>
      <c r="Q1002" s="95"/>
    </row>
    <row r="1003">
      <c r="A1003" s="98"/>
      <c r="D1003" s="95"/>
      <c r="L1003" s="50"/>
    </row>
  </sheetData>
  <autoFilter ref="$N$2:$N$67"/>
  <mergeCells count="29">
    <mergeCell ref="C1:L2"/>
    <mergeCell ref="N1:Q1"/>
    <mergeCell ref="C4:G4"/>
    <mergeCell ref="H4:I4"/>
    <mergeCell ref="C7:D7"/>
    <mergeCell ref="J7:K7"/>
    <mergeCell ref="B34:C34"/>
    <mergeCell ref="C35:D35"/>
    <mergeCell ref="C36:D36"/>
    <mergeCell ref="C37:D37"/>
    <mergeCell ref="C38:D38"/>
    <mergeCell ref="C39:D39"/>
    <mergeCell ref="C40:D40"/>
    <mergeCell ref="C41:D41"/>
    <mergeCell ref="C49:D49"/>
    <mergeCell ref="C50:D50"/>
    <mergeCell ref="C51:D51"/>
    <mergeCell ref="C52:D52"/>
    <mergeCell ref="C53:D53"/>
    <mergeCell ref="C54:D54"/>
    <mergeCell ref="C55:D55"/>
    <mergeCell ref="C56:D56"/>
    <mergeCell ref="C42:D42"/>
    <mergeCell ref="C43:D43"/>
    <mergeCell ref="C44:D44"/>
    <mergeCell ref="C45:D45"/>
    <mergeCell ref="C46:D46"/>
    <mergeCell ref="C47:D47"/>
    <mergeCell ref="C48:D48"/>
  </mergeCells>
  <drawing r:id="rId1"/>
</worksheet>
</file>